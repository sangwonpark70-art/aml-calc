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실소자판별기\10.프로그램파일_files\엑셀용\"/>
    </mc:Choice>
  </mc:AlternateContent>
  <xr:revisionPtr revIDLastSave="0" documentId="13_ncr:1_{309EA986-321A-4E3D-A1D2-B52AA515DE85}" xr6:coauthVersionLast="47" xr6:coauthVersionMax="47" xr10:uidLastSave="{00000000-0000-0000-0000-000000000000}"/>
  <bookViews>
    <workbookView xWindow="390" yWindow="390" windowWidth="21600" windowHeight="11295" activeTab="1" xr2:uid="{839186BB-3E46-4009-9210-1EFA8C70A0B4}"/>
  </bookViews>
  <sheets>
    <sheet name="실제소유자 판별" sheetId="1" r:id="rId1"/>
    <sheet name="순환출자 설명" sheetId="4" r:id="rId2"/>
    <sheet name="순환출자 계산기" sheetId="2" r:id="rId3"/>
    <sheet name="시뮬레이션 케이스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R66" i="1" l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C89" i="1" s="1"/>
  <c r="I89" i="1" s="1"/>
  <c r="F28" i="2"/>
  <c r="F27" i="2"/>
  <c r="F26" i="2"/>
  <c r="D21" i="2"/>
  <c r="B22" i="2" s="1"/>
  <c r="E20" i="2"/>
  <c r="F20" i="2" s="1"/>
  <c r="E19" i="2"/>
  <c r="F19" i="2" s="1"/>
  <c r="E17" i="2"/>
  <c r="F17" i="2" s="1"/>
  <c r="E16" i="2"/>
  <c r="F16" i="2" s="1"/>
  <c r="E15" i="2"/>
  <c r="F15" i="2" s="1"/>
  <c r="E13" i="2"/>
  <c r="F13" i="2" s="1"/>
  <c r="E12" i="2"/>
  <c r="F12" i="2" s="1"/>
  <c r="E11" i="2"/>
  <c r="F11" i="2" s="1"/>
  <c r="G8" i="2"/>
  <c r="E18" i="2" s="1"/>
  <c r="F18" i="2" s="1"/>
  <c r="E102" i="1"/>
  <c r="I79" i="1"/>
  <c r="K79" i="1" s="1"/>
  <c r="G79" i="1"/>
  <c r="F79" i="1"/>
  <c r="C79" i="1"/>
  <c r="E79" i="1" s="1"/>
  <c r="M78" i="1"/>
  <c r="K78" i="1"/>
  <c r="I78" i="1"/>
  <c r="G78" i="1"/>
  <c r="F78" i="1"/>
  <c r="E78" i="1"/>
  <c r="C78" i="1"/>
  <c r="C77" i="1"/>
  <c r="G77" i="1" s="1"/>
  <c r="C76" i="1"/>
  <c r="F76" i="1" s="1"/>
  <c r="C75" i="1"/>
  <c r="E75" i="1" s="1"/>
  <c r="F74" i="1"/>
  <c r="E74" i="1"/>
  <c r="C74" i="1"/>
  <c r="I74" i="1" s="1"/>
  <c r="I73" i="1"/>
  <c r="M73" i="1" s="1"/>
  <c r="C73" i="1"/>
  <c r="G73" i="1" s="1"/>
  <c r="I72" i="1"/>
  <c r="M72" i="1" s="1"/>
  <c r="G72" i="1"/>
  <c r="C72" i="1"/>
  <c r="F72" i="1" s="1"/>
  <c r="I71" i="1"/>
  <c r="K71" i="1" s="1"/>
  <c r="G71" i="1"/>
  <c r="F71" i="1"/>
  <c r="C71" i="1"/>
  <c r="E71" i="1" s="1"/>
  <c r="M70" i="1"/>
  <c r="K70" i="1"/>
  <c r="I70" i="1"/>
  <c r="G70" i="1"/>
  <c r="F70" i="1"/>
  <c r="E70" i="1"/>
  <c r="C70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Q43" i="1"/>
  <c r="I43" i="1"/>
  <c r="H43" i="1"/>
  <c r="Q42" i="1"/>
  <c r="I42" i="1"/>
  <c r="H42" i="1"/>
  <c r="Q41" i="1"/>
  <c r="I41" i="1"/>
  <c r="H41" i="1"/>
  <c r="Q40" i="1"/>
  <c r="I40" i="1"/>
  <c r="H40" i="1"/>
  <c r="Q39" i="1"/>
  <c r="I39" i="1"/>
  <c r="H39" i="1"/>
  <c r="Q38" i="1"/>
  <c r="I38" i="1"/>
  <c r="H38" i="1"/>
  <c r="Q37" i="1"/>
  <c r="I37" i="1"/>
  <c r="H37" i="1"/>
  <c r="Q36" i="1"/>
  <c r="I36" i="1"/>
  <c r="H36" i="1"/>
  <c r="Q35" i="1"/>
  <c r="I35" i="1"/>
  <c r="H35" i="1"/>
  <c r="Q34" i="1"/>
  <c r="I34" i="1"/>
  <c r="H34" i="1"/>
  <c r="Q33" i="1"/>
  <c r="I33" i="1"/>
  <c r="H33" i="1"/>
  <c r="Q32" i="1"/>
  <c r="I32" i="1"/>
  <c r="H32" i="1"/>
  <c r="Q31" i="1"/>
  <c r="I31" i="1"/>
  <c r="H31" i="1"/>
  <c r="Q30" i="1"/>
  <c r="I30" i="1"/>
  <c r="H30" i="1"/>
  <c r="Q29" i="1"/>
  <c r="I29" i="1"/>
  <c r="H29" i="1"/>
  <c r="Q28" i="1"/>
  <c r="I28" i="1"/>
  <c r="H28" i="1"/>
  <c r="Q27" i="1"/>
  <c r="I27" i="1"/>
  <c r="H27" i="1"/>
  <c r="Q26" i="1"/>
  <c r="I26" i="1"/>
  <c r="H26" i="1"/>
  <c r="Q25" i="1"/>
  <c r="I25" i="1"/>
  <c r="H25" i="1"/>
  <c r="Q24" i="1"/>
  <c r="I24" i="1"/>
  <c r="H24" i="1"/>
  <c r="P20" i="1"/>
  <c r="G20" i="1"/>
  <c r="F20" i="1"/>
  <c r="P19" i="1"/>
  <c r="G19" i="1"/>
  <c r="F19" i="1"/>
  <c r="P18" i="1"/>
  <c r="G18" i="1"/>
  <c r="F18" i="1"/>
  <c r="P17" i="1"/>
  <c r="G17" i="1"/>
  <c r="F17" i="1"/>
  <c r="P16" i="1"/>
  <c r="G16" i="1"/>
  <c r="F16" i="1"/>
  <c r="P15" i="1"/>
  <c r="G15" i="1"/>
  <c r="F15" i="1"/>
  <c r="P14" i="1"/>
  <c r="G14" i="1"/>
  <c r="F14" i="1"/>
  <c r="P13" i="1"/>
  <c r="G13" i="1"/>
  <c r="F13" i="1"/>
  <c r="P12" i="1"/>
  <c r="G12" i="1"/>
  <c r="F12" i="1"/>
  <c r="P11" i="1"/>
  <c r="G11" i="1"/>
  <c r="F11" i="1"/>
  <c r="M6" i="1"/>
  <c r="F5" i="1"/>
  <c r="B99" i="1" s="1"/>
  <c r="M74" i="1" l="1"/>
  <c r="K74" i="1"/>
  <c r="M71" i="1"/>
  <c r="F75" i="1"/>
  <c r="G76" i="1"/>
  <c r="I77" i="1"/>
  <c r="M79" i="1"/>
  <c r="C82" i="1"/>
  <c r="I82" i="1" s="1"/>
  <c r="K82" i="1" s="1"/>
  <c r="E73" i="1"/>
  <c r="G75" i="1"/>
  <c r="I76" i="1"/>
  <c r="E21" i="2"/>
  <c r="C83" i="1"/>
  <c r="E83" i="1" s="1"/>
  <c r="E72" i="1"/>
  <c r="F73" i="1"/>
  <c r="G74" i="1"/>
  <c r="I75" i="1"/>
  <c r="E14" i="2"/>
  <c r="F14" i="2" s="1"/>
  <c r="C84" i="1"/>
  <c r="I84" i="1" s="1"/>
  <c r="M84" i="1" s="1"/>
  <c r="C85" i="1"/>
  <c r="G85" i="1" s="1"/>
  <c r="C86" i="1"/>
  <c r="F86" i="1" s="1"/>
  <c r="E77" i="1"/>
  <c r="C87" i="1"/>
  <c r="I87" i="1" s="1"/>
  <c r="K87" i="1" s="1"/>
  <c r="K73" i="1"/>
  <c r="K72" i="1"/>
  <c r="E76" i="1"/>
  <c r="F77" i="1"/>
  <c r="C80" i="1"/>
  <c r="G80" i="1" s="1"/>
  <c r="C88" i="1"/>
  <c r="I88" i="1" s="1"/>
  <c r="K88" i="1" s="1"/>
  <c r="C81" i="1"/>
  <c r="G81" i="1" s="1"/>
  <c r="K89" i="1"/>
  <c r="M89" i="1"/>
  <c r="F89" i="1"/>
  <c r="E89" i="1"/>
  <c r="G89" i="1"/>
  <c r="I86" i="1"/>
  <c r="K84" i="1"/>
  <c r="E84" i="1"/>
  <c r="F84" i="1"/>
  <c r="G84" i="1"/>
  <c r="F82" i="1"/>
  <c r="I80" i="1"/>
  <c r="F80" i="1"/>
  <c r="M77" i="1" l="1"/>
  <c r="K77" i="1"/>
  <c r="E80" i="1"/>
  <c r="M82" i="1"/>
  <c r="G87" i="1"/>
  <c r="M88" i="1"/>
  <c r="M76" i="1"/>
  <c r="K76" i="1"/>
  <c r="G82" i="1"/>
  <c r="E86" i="1"/>
  <c r="F88" i="1"/>
  <c r="E87" i="1"/>
  <c r="G83" i="1"/>
  <c r="I83" i="1"/>
  <c r="C96" i="1" s="1"/>
  <c r="F96" i="1" s="1"/>
  <c r="G88" i="1"/>
  <c r="E88" i="1"/>
  <c r="E82" i="1"/>
  <c r="G86" i="1"/>
  <c r="F81" i="1"/>
  <c r="I85" i="1"/>
  <c r="M85" i="1" s="1"/>
  <c r="F87" i="1"/>
  <c r="E81" i="1"/>
  <c r="E85" i="1"/>
  <c r="M87" i="1"/>
  <c r="I81" i="1"/>
  <c r="F83" i="1"/>
  <c r="F85" i="1"/>
  <c r="M75" i="1"/>
  <c r="K75" i="1"/>
  <c r="M86" i="1"/>
  <c r="K86" i="1"/>
  <c r="K85" i="1"/>
  <c r="K81" i="1"/>
  <c r="M81" i="1"/>
  <c r="B95" i="1"/>
  <c r="F95" i="1" s="1"/>
  <c r="M80" i="1"/>
  <c r="K80" i="1"/>
  <c r="K83" i="1" l="1"/>
  <c r="M83" i="1"/>
</calcChain>
</file>

<file path=xl/sharedStrings.xml><?xml version="1.0" encoding="utf-8"?>
<sst xmlns="http://schemas.openxmlformats.org/spreadsheetml/2006/main" count="193" uniqueCount="108">
  <si>
    <t>실제소유자 판별기 V84  —  사내 개인검증용  (3단계·동일인 합산·법인명 드롭다운·순환출자 정규화)</t>
  </si>
  <si>
    <t>⚠ 본 도구는 특정 개인이 자체 학습·검증 목적으로 제작한 것으로, 회사·소속 부서와 무관합니다.</t>
  </si>
  <si>
    <t>① 기본 정보 입력</t>
  </si>
  <si>
    <t>사업자등록번호</t>
  </si>
  <si>
    <t>법인유형 (자동판별)</t>
  </si>
  <si>
    <t>대상 법인명</t>
  </si>
  <si>
    <t>총 발행주식수</t>
  </si>
  <si>
    <t>주</t>
  </si>
  <si>
    <t>(-) 의결권없는주식</t>
  </si>
  <si>
    <t>= 의결권있는 주식수:</t>
  </si>
  <si>
    <t>💡 팁: 총발행주식수를 100으로 설정하면 보유주식칸에 지분율(%)을 직접 입력할 수 있습니다.</t>
  </si>
  <si>
    <t>② 1차 주주 입력  (직접 주주 — 최대 20명)</t>
  </si>
  <si>
    <t>No</t>
  </si>
  <si>
    <t>유형</t>
  </si>
  <si>
    <t>주주명</t>
  </si>
  <si>
    <t>보유주식수</t>
  </si>
  <si>
    <t>지분율(%)</t>
  </si>
  <si>
    <t>실효지분(%)</t>
  </si>
  <si>
    <t>개인</t>
  </si>
  <si>
    <t>③ 2차 주주 입력  (1차 법인 주주의 주주 — 최대 20명)</t>
  </si>
  <si>
    <t>1차법인명</t>
  </si>
  <si>
    <t>보유주식</t>
  </si>
  <si>
    <t>해당법인총주</t>
  </si>
  <si>
    <t>④ 3차 주주 입력  (2차 법인 주주의 주주 — 최대 20명)</t>
  </si>
  <si>
    <t>2차법인명</t>
  </si>
  <si>
    <t>⑤ 동일인 합산  —  복수 경로 실효지분 자동 합산</t>
  </si>
  <si>
    <t>성명</t>
  </si>
  <si>
    <t>1차 직접</t>
  </si>
  <si>
    <t>2차 간접</t>
  </si>
  <si>
    <t>3차 간접</t>
  </si>
  <si>
    <t>합산 실효(%)</t>
  </si>
  <si>
    <t>25% 기준</t>
  </si>
  <si>
    <t>판정</t>
  </si>
  <si>
    <t>색구분: 노란셀=직접입력 | 파란셀=자동계산 | 민트셀=2.3차 전용 수동입력(11-20번)</t>
  </si>
  <si>
    <t>⑦ 자동 판별 유형  —  합산 결과 기준 자동 결정</t>
  </si>
  <si>
    <t>판별 유형</t>
  </si>
  <si>
    <t>설명</t>
  </si>
  <si>
    <t>상위 4명 합산</t>
  </si>
  <si>
    <t>⑧ 필요 제출 서류 안내  —  법인 유형별 자동 안내</t>
  </si>
  <si>
    <t>1차 주주 보유주식 합계</t>
  </si>
  <si>
    <t>입력 안내: 노란셀에 직접 입력 | 유형/법인명은 드롭다운 선택 | 합산표 11-20번 = 2.3차 전용 수동입력</t>
  </si>
  <si>
    <t>순환출자 자동 정규화 계산기  V84</t>
  </si>
  <si>
    <t>순환출자(서로가 서로를 소유) 구조에서 외부주주 정규화 비율을 자동 계산합니다.</t>
  </si>
  <si>
    <t>Excel 반복계산 설정: 파일 -&gt; 옵션 -&gt; 수식 탭 -&gt; 반복 계산 사용 체크  |  최대 반복횟수: 100</t>
  </si>
  <si>
    <t>A형  단순 순환  --  한 법인이 다른 법인을 완전소유, 상대가 일부 역보유</t>
  </si>
  <si>
    <t>구분</t>
  </si>
  <si>
    <t>법인A명</t>
  </si>
  <si>
    <t>법인B명</t>
  </si>
  <si>
    <t>A-&gt;B 보유율(%)</t>
  </si>
  <si>
    <t>B-&gt;A 역보유율(%)</t>
  </si>
  <si>
    <t>순환제거율</t>
  </si>
  <si>
    <t>입력</t>
  </si>
  <si>
    <t>공식:  정규화 지분(%) = 원래지분(%) / (1 - B-&gt;A역보유율%)   -&gt;   법인B 외부주주 입력시 자동 계산</t>
  </si>
  <si>
    <t>자연인 성명</t>
  </si>
  <si>
    <t>원래 지분(%)</t>
  </si>
  <si>
    <t>정규화 지분(%)</t>
  </si>
  <si>
    <t>합계</t>
  </si>
  <si>
    <t>역보유율</t>
  </si>
  <si>
    <t>계산식</t>
  </si>
  <si>
    <t>케이스 예시 모음  (V84 기준 -- 입력 참고용)</t>
  </si>
  <si>
    <t>케이스1: 단순 개인주주</t>
  </si>
  <si>
    <t>홍길동 4000주(40%), 김철수 3000주(30%), 이영희 3000주(30%)</t>
  </si>
  <si>
    <t>결과</t>
  </si>
  <si>
    <t>2-(1): 홍길동·김철수·이영희 기재</t>
  </si>
  <si>
    <t>케이스2: 법인 경유 간접</t>
  </si>
  <si>
    <t>(주)갑 60%(갑하위: 김철수50%/이영희50%), 홍길동 40%</t>
  </si>
  <si>
    <t>2-(1): 홍길동40%, 김철수30%, 이영희30%</t>
  </si>
  <si>
    <t>케이스3: 의결권없는 우선주</t>
  </si>
  <si>
    <t>총10000주(우선주3000포함), 홍길동 보통주2000</t>
  </si>
  <si>
    <t>2-(1): 의결권주식7000 기준 홍길동 28.57%</t>
  </si>
  <si>
    <t>케이스4: 25% 미달</t>
  </si>
  <si>
    <t>홍길동20%, 김철수18%, 이영희15%, (주)갑47%</t>
  </si>
  <si>
    <t>2-(2)-2: 홍길동이 최대주주</t>
  </si>
  <si>
    <t>케이스5: 동률</t>
  </si>
  <si>
    <t>홍길동20%, 김철수20%, 이영희15%, (주)갑45%</t>
  </si>
  <si>
    <t>2-(2)-3: 동률 -&gt; 대표이사 등재</t>
  </si>
  <si>
    <t>케이스6: 3단계 간접</t>
  </si>
  <si>
    <t>(주)갑80%(갑하위:을70%), (주)을(이영희60%/김철수40%), 홍길동20%</t>
  </si>
  <si>
    <t>2-(1): 이영희33.6% 이상 기재</t>
  </si>
  <si>
    <t>케이스7: 복수경로 합산</t>
  </si>
  <si>
    <t>(주)갑40%(갑하위:홍길동30%), 홍길동20%</t>
  </si>
  <si>
    <t>2-(1): 홍길동 직접20%+간접12%=32%</t>
  </si>
  <si>
    <t>순환출자란? — 쉽게 이해하기</t>
  </si>
  <si>
    <t>실제소유자는 "회사를 실제로 움직일 수 있는 사람"입니다. 그래서 회사 일을 결정할 표(의결권)가 없는 주식은 전체 주식 수에서 뺀 다음, 남은 주식만으로 25%를 따집니다.</t>
  </si>
  <si>
    <t>분모에서 빼야 하는 주식 — 3가지</t>
  </si>
  <si>
    <t>종류</t>
  </si>
  <si>
    <t>무슨 뜻인가</t>
  </si>
  <si>
    <t>어떻게 확인하나</t>
  </si>
  <si>
    <t>① 의결권 없는 우선주</t>
  </si>
  <si>
    <t>우선주에도 표 있는 것과 없는 것이 있습니다. 표가 없는 우선주는 뺍니다.</t>
  </si>
  <si>
    <t>등기부등본 "발행할 주식의 종류" 또는 주주명부 비고란에서 확인. 확인이 안 되면 의결권 없는 것으로 보고(=빼고) 계산 — 빼면 모두의 지분이 커지는 쪽이라 실제소유자를 놓칠 위험이 없는 안전한 방향입니다.</t>
  </si>
  <si>
    <t>② 자기주식</t>
  </si>
  <si>
    <t>회사가 자기 회사 주식을 사서 갖고 있는 것. 그 주식은 표가 없습니다.</t>
  </si>
  <si>
    <t>주주명부의 주주 칸에 대상 회사 자신이 올라 있는 경우. 회사명이 같아도 동명 타사일 수 있으니 사업자등록번호(법인등록번호)가 대상 법인과 같은지로 확인.</t>
  </si>
  <si>
    <t>③ 맞보유 주식 (순환출자)</t>
  </si>
  <si>
    <t>서로 주식을 갖고 있는 회사가 가진 내 주식. 위 도식의 한강물류가 가진 한강식품 주식이 이것입니다.</t>
  </si>
  <si>
    <t>대상 회사 주주명부에 법인 주주가 있고, 그 법인 주주명부에 대상 회사가 다시 등장하면 맞보유. 단, 대상 회사가 그 법인을 10% 넘게 가진 경우에만 뺍니다 (10% 이하면 빼지 않음).</t>
  </si>
  <si>
    <t>공통 공식 (셋 다 똑같음):  실제 지분(%) = 내 주식 ÷ (총주식 − 위에서 뺀 주식) × 100</t>
  </si>
  <si>
    <t>예) 김민수 = 22 ÷ 80 = 27.5%  →  25% 넘음  →  실제소유자</t>
  </si>
  <si>
    <t>이 시트는 개념 설명용입니다. 실제 계산은 옆의 "순환출자 계산기" 시트를 사용하세요.</t>
  </si>
  <si>
    <t>예시: 한강식품 -&gt; 한강물류 100% / 한강물류 -&gt; 한강식품 12.5% 역보유</t>
  </si>
  <si>
    <t>계산 예시  --  한강물류 케이스 (A형 적용)</t>
  </si>
  <si>
    <t>홍길동</t>
  </si>
  <si>
    <t>김철수</t>
  </si>
  <si>
    <t>이영희</t>
  </si>
  <si>
    <t>한강식품30%,해운30% (산업-&gt;해운100%,해운-&gt;산업12.5%역보유)</t>
  </si>
  <si>
    <t>케이스8: 순환출자(한강물류)</t>
  </si>
  <si>
    <t>자동정규화: 홍길동34.29%, 김철수34.29%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</si>
</sst>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맑은 고딕"/>
      <family val="2"/>
      <charset val="129"/>
      <scheme val="minor"/>
    </font>
    <font>
      <b/>
      <sz val="13"/>
      <color rgb="FF1E3A5F"/>
      <name val="맑은 고딕"/>
      <family val="3"/>
      <charset val="129"/>
      <scheme val="minor"/>
    </font>
    <font>
      <i/>
      <sz val="9"/>
      <color rgb="FF991B1B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1E293B"/>
      <name val="맑은 고딕"/>
      <family val="3"/>
      <charset val="129"/>
      <scheme val="minor"/>
    </font>
    <font>
      <sz val="10"/>
      <color rgb="FF1E293B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1E40AF"/>
      <name val="맑은 고딕"/>
      <family val="3"/>
      <charset val="129"/>
      <scheme val="minor"/>
    </font>
    <font>
      <b/>
      <sz val="11"/>
      <color rgb="FF1E40AF"/>
      <name val="맑은 고딕"/>
      <family val="3"/>
      <charset val="129"/>
      <scheme val="minor"/>
    </font>
    <font>
      <sz val="9"/>
      <color rgb="FF065F46"/>
      <name val="맑은 고딕"/>
      <family val="3"/>
      <charset val="129"/>
      <scheme val="minor"/>
    </font>
    <font>
      <i/>
      <sz val="9"/>
      <color rgb="FF065F46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i/>
      <sz val="9"/>
      <color rgb="FF475569"/>
      <name val="맑은 고딕"/>
      <family val="3"/>
      <charset val="129"/>
      <scheme val="minor"/>
    </font>
    <font>
      <b/>
      <sz val="11"/>
      <color rgb="FF1E3A8A"/>
      <name val="맑은 고딕"/>
      <family val="3"/>
      <charset val="129"/>
      <scheme val="minor"/>
    </font>
    <font>
      <sz val="9"/>
      <color rgb="FF1E293B"/>
      <name val="맑은 고딕"/>
      <family val="3"/>
      <charset val="129"/>
      <scheme val="minor"/>
    </font>
    <font>
      <b/>
      <sz val="10"/>
      <color rgb="FF0F766E"/>
      <name val="맑은 고딕"/>
      <family val="3"/>
      <charset val="129"/>
      <scheme val="minor"/>
    </font>
    <font>
      <b/>
      <sz val="11"/>
      <color rgb="FF0369A1"/>
      <name val="맑은 고딕"/>
      <family val="3"/>
      <charset val="129"/>
      <scheme val="minor"/>
    </font>
    <font>
      <i/>
      <sz val="9"/>
      <color rgb="FF92400E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  <scheme val="minor"/>
    </font>
    <font>
      <i/>
      <sz val="9"/>
      <color rgb="FF1E3A8A"/>
      <name val="맑은 고딕"/>
      <family val="3"/>
      <charset val="129"/>
      <scheme val="minor"/>
    </font>
    <font>
      <b/>
      <sz val="9"/>
      <color rgb="FF92400E"/>
      <name val="맑은 고딕"/>
      <family val="3"/>
      <charset val="129"/>
      <scheme val="minor"/>
    </font>
    <font>
      <i/>
      <sz val="9"/>
      <color rgb="FF0369A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b/>
      <sz val="9"/>
      <color rgb="FF065F46"/>
      <name val="맑은 고딕"/>
      <family val="3"/>
      <charset val="129"/>
      <scheme val="minor"/>
    </font>
    <font>
      <b/>
      <sz val="16"/>
      <color rgb="FFA83F5B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b/>
      <sz val="14"/>
      <color rgb="FFA83F5B"/>
      <name val="맑은 고딕"/>
      <family val="3"/>
      <charset val="129"/>
      <scheme val="minor"/>
    </font>
    <font>
      <b/>
      <sz val="11"/>
      <color rgb="FF4B1B1E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b/>
      <sz val="11"/>
      <color rgb="FF32510F"/>
      <name val="맑은 고딕"/>
      <family val="3"/>
      <charset val="129"/>
      <scheme val="minor"/>
    </font>
    <font>
      <sz val="10"/>
      <color rgb="FF888888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0C4A6E"/>
        <bgColor indexed="64"/>
      </patternFill>
    </fill>
    <fill>
      <patternFill patternType="solid">
        <fgColor rgb="FF0369A1"/>
        <bgColor indexed="64"/>
      </patternFill>
    </fill>
    <fill>
      <patternFill patternType="solid">
        <fgColor rgb="FFF0F9FF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064E3B"/>
        <bgColor indexed="64"/>
      </patternFill>
    </fill>
    <fill>
      <patternFill patternType="solid">
        <fgColor rgb="FF047857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CCFBF1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07598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0FDF5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D2E9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4" fillId="5" borderId="0" xfId="0" applyFont="1" applyFill="1" applyAlignment="1">
      <alignment horizontal="left" vertical="center" wrapText="1"/>
    </xf>
    <xf numFmtId="3" fontId="5" fillId="6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center" vertical="center" wrapText="1"/>
    </xf>
    <xf numFmtId="49" fontId="7" fillId="7" borderId="0" xfId="0" applyNumberFormat="1" applyFont="1" applyFill="1" applyAlignment="1">
      <alignment horizontal="right" vertical="center"/>
    </xf>
    <xf numFmtId="3" fontId="8" fillId="7" borderId="0" xfId="0" applyNumberFormat="1" applyFont="1" applyFill="1" applyAlignment="1">
      <alignment horizontal="right" vertical="center"/>
    </xf>
    <xf numFmtId="0" fontId="11" fillId="10" borderId="0" xfId="0" applyFont="1" applyFill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right" vertical="center"/>
    </xf>
    <xf numFmtId="2" fontId="5" fillId="11" borderId="1" xfId="0" applyNumberFormat="1" applyFont="1" applyFill="1" applyBorder="1" applyAlignment="1">
      <alignment horizontal="right" vertical="center"/>
    </xf>
    <xf numFmtId="2" fontId="4" fillId="11" borderId="1" xfId="0" applyNumberFormat="1" applyFont="1" applyFill="1" applyBorder="1" applyAlignment="1">
      <alignment horizontal="right" vertical="center"/>
    </xf>
    <xf numFmtId="0" fontId="11" fillId="13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left" vertical="center" wrapText="1"/>
    </xf>
    <xf numFmtId="2" fontId="5" fillId="18" borderId="1" xfId="0" applyNumberFormat="1" applyFont="1" applyFill="1" applyBorder="1" applyAlignment="1">
      <alignment horizontal="right" vertical="center"/>
    </xf>
    <xf numFmtId="2" fontId="4" fillId="18" borderId="1" xfId="0" applyNumberFormat="1" applyFont="1" applyFill="1" applyBorder="1" applyAlignment="1">
      <alignment horizontal="right" vertical="center"/>
    </xf>
    <xf numFmtId="0" fontId="5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2" fontId="5" fillId="19" borderId="1" xfId="0" applyNumberFormat="1" applyFont="1" applyFill="1" applyBorder="1" applyAlignment="1">
      <alignment horizontal="right" vertical="center"/>
    </xf>
    <xf numFmtId="2" fontId="4" fillId="19" borderId="1" xfId="0" applyNumberFormat="1" applyFont="1" applyFill="1" applyBorder="1" applyAlignment="1">
      <alignment horizontal="right" vertical="center"/>
    </xf>
    <xf numFmtId="0" fontId="11" fillId="20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left" vertical="center" wrapText="1"/>
    </xf>
    <xf numFmtId="3" fontId="16" fillId="11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left" vertical="center" wrapText="1"/>
    </xf>
    <xf numFmtId="0" fontId="23" fillId="24" borderId="0" xfId="0" applyFont="1" applyFill="1" applyAlignment="1">
      <alignment horizontal="center" vertical="center" wrapText="1"/>
    </xf>
    <xf numFmtId="0" fontId="0" fillId="6" borderId="0" xfId="0" applyFill="1">
      <alignment vertical="center"/>
    </xf>
    <xf numFmtId="2" fontId="0" fillId="6" borderId="0" xfId="0" applyNumberFormat="1" applyFill="1">
      <alignment vertical="center"/>
    </xf>
    <xf numFmtId="10" fontId="0" fillId="7" borderId="0" xfId="0" applyNumberFormat="1" applyFill="1">
      <alignment vertical="center"/>
    </xf>
    <xf numFmtId="0" fontId="24" fillId="8" borderId="0" xfId="0" applyFont="1" applyFill="1" applyAlignment="1">
      <alignment horizontal="center" vertical="center" wrapText="1"/>
    </xf>
    <xf numFmtId="2" fontId="25" fillId="7" borderId="0" xfId="0" applyNumberFormat="1" applyFont="1" applyFill="1" applyAlignment="1">
      <alignment horizontal="left" vertical="center" wrapText="1"/>
    </xf>
    <xf numFmtId="0" fontId="11" fillId="26" borderId="0" xfId="0" applyFont="1" applyFill="1" applyAlignment="1">
      <alignment horizontal="center" vertical="center" wrapText="1"/>
    </xf>
    <xf numFmtId="2" fontId="3" fillId="26" borderId="0" xfId="0" applyNumberFormat="1" applyFont="1" applyFill="1" applyAlignment="1">
      <alignment horizontal="left" vertical="center" wrapText="1"/>
    </xf>
    <xf numFmtId="0" fontId="0" fillId="18" borderId="0" xfId="0" applyFill="1">
      <alignment vertical="center"/>
    </xf>
    <xf numFmtId="10" fontId="0" fillId="18" borderId="0" xfId="0" applyNumberFormat="1" applyFill="1">
      <alignment vertical="center"/>
    </xf>
    <xf numFmtId="0" fontId="22" fillId="19" borderId="0" xfId="0" applyFont="1" applyFill="1">
      <alignment vertical="center"/>
    </xf>
    <xf numFmtId="0" fontId="23" fillId="2" borderId="0" xfId="0" applyFont="1" applyFill="1" applyAlignment="1">
      <alignment horizontal="center" vertical="center" wrapText="1"/>
    </xf>
    <xf numFmtId="0" fontId="23" fillId="8" borderId="0" xfId="0" applyFont="1" applyFill="1" applyAlignment="1">
      <alignment horizontal="center" vertical="center" wrapText="1"/>
    </xf>
    <xf numFmtId="0" fontId="28" fillId="0" borderId="0" xfId="0" applyFont="1">
      <alignment vertical="center"/>
    </xf>
    <xf numFmtId="0" fontId="30" fillId="0" borderId="0" xfId="0" applyFont="1">
      <alignment vertical="center"/>
    </xf>
    <xf numFmtId="0" fontId="22" fillId="28" borderId="0" xfId="0" applyFont="1" applyFill="1">
      <alignment vertical="center"/>
    </xf>
    <xf numFmtId="0" fontId="31" fillId="0" borderId="0" xfId="0" applyFont="1" applyAlignment="1">
      <alignment vertical="top" wrapText="1"/>
    </xf>
    <xf numFmtId="0" fontId="32" fillId="0" borderId="0" xfId="0" applyFont="1" applyAlignment="1">
      <alignment vertical="top" wrapText="1"/>
    </xf>
    <xf numFmtId="0" fontId="29" fillId="0" borderId="0" xfId="0" applyFont="1" applyAlignment="1">
      <alignment vertical="center" wrapText="1"/>
    </xf>
    <xf numFmtId="0" fontId="22" fillId="28" borderId="0" xfId="0" applyFont="1" applyFill="1">
      <alignment vertical="center"/>
    </xf>
    <xf numFmtId="0" fontId="33" fillId="0" borderId="0" xfId="0" applyFont="1">
      <alignment vertical="center"/>
    </xf>
    <xf numFmtId="0" fontId="29" fillId="0" borderId="0" xfId="0" applyFont="1">
      <alignment vertical="center"/>
    </xf>
    <xf numFmtId="0" fontId="34" fillId="0" borderId="0" xfId="0" applyFont="1">
      <alignment vertical="center"/>
    </xf>
    <xf numFmtId="0" fontId="12" fillId="5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 wrapText="1"/>
    </xf>
    <xf numFmtId="0" fontId="3" fillId="16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17" fillId="22" borderId="0" xfId="0" applyFont="1" applyFill="1" applyAlignment="1">
      <alignment horizontal="left" vertical="center" wrapText="1"/>
    </xf>
    <xf numFmtId="0" fontId="0" fillId="20" borderId="0" xfId="0" applyFill="1">
      <alignment vertical="center"/>
    </xf>
    <xf numFmtId="0" fontId="0" fillId="0" borderId="0" xfId="0">
      <alignment vertical="center"/>
    </xf>
    <xf numFmtId="0" fontId="1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15" fillId="11" borderId="0" xfId="0" applyNumberFormat="1" applyFont="1" applyFill="1" applyAlignment="1">
      <alignment horizontal="center" vertical="center"/>
    </xf>
    <xf numFmtId="0" fontId="9" fillId="21" borderId="0" xfId="0" applyFont="1" applyFill="1" applyAlignment="1">
      <alignment horizontal="left" vertical="center" wrapText="1"/>
    </xf>
    <xf numFmtId="0" fontId="20" fillId="2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27" borderId="0" xfId="0" applyFont="1" applyFill="1" applyAlignment="1">
      <alignment vertical="center" wrapText="1"/>
    </xf>
    <xf numFmtId="0" fontId="18" fillId="4" borderId="0" xfId="0" applyFont="1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3" fillId="23" borderId="0" xfId="0" applyFont="1" applyFill="1" applyAlignment="1">
      <alignment vertical="center" wrapText="1"/>
    </xf>
    <xf numFmtId="0" fontId="21" fillId="11" borderId="0" xfId="0" applyFont="1" applyFill="1" applyAlignment="1">
      <alignment vertical="center" wrapText="1"/>
    </xf>
    <xf numFmtId="0" fontId="9" fillId="25" borderId="0" xfId="0" applyFont="1" applyFill="1" applyAlignment="1">
      <alignment vertical="center" wrapText="1"/>
    </xf>
    <xf numFmtId="0" fontId="27" fillId="21" borderId="0" xfId="0" applyFont="1" applyFill="1" applyAlignment="1">
      <alignment vertical="center" wrapText="1"/>
    </xf>
    <xf numFmtId="0" fontId="3" fillId="9" borderId="0" xfId="0" applyFont="1" applyFill="1" applyAlignment="1">
      <alignment vertical="center" wrapText="1"/>
    </xf>
    <xf numFmtId="0" fontId="24" fillId="6" borderId="0" xfId="0" applyFont="1" applyFill="1" applyAlignment="1">
      <alignment vertical="center" wrapText="1"/>
    </xf>
    <xf numFmtId="0" fontId="26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9</xdr:col>
      <xdr:colOff>250825</xdr:colOff>
      <xdr:row>35</xdr:row>
      <xdr:rowOff>171450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369F511-0518-DBC9-0917-EE89825F51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209675"/>
          <a:ext cx="9652000" cy="666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7E0E-CA38-49DC-9054-6C722AABBC2A}">
  <dimension ref="A1:R103"/>
  <sheetViews>
    <sheetView workbookViewId="0">
      <pane xSplit="2" ySplit="10" topLeftCell="C11" activePane="bottomRight" state="frozenSplit"/>
      <selection pane="topRight" activeCell="C1" sqref="C1"/>
      <selection pane="bottomLeft" activeCell="A11" sqref="A11"/>
      <selection pane="bottomRight" sqref="A1:N1"/>
    </sheetView>
  </sheetViews>
  <sheetFormatPr defaultRowHeight="16.5" x14ac:dyDescent="0.3"/>
  <cols>
    <col min="1" max="1" width="2.625" customWidth="1"/>
    <col min="2" max="2" width="5.625" customWidth="1"/>
    <col min="3" max="3" width="13.625" customWidth="1"/>
    <col min="4" max="4" width="20.625" customWidth="1"/>
    <col min="5" max="5" width="13.625" customWidth="1"/>
    <col min="6" max="9" width="11.625" customWidth="1"/>
    <col min="10" max="10" width="8.625" customWidth="1"/>
    <col min="11" max="11" width="14.625" customWidth="1"/>
    <col min="12" max="12" width="8.625" customWidth="1"/>
    <col min="13" max="13" width="22.625" customWidth="1"/>
    <col min="14" max="14" width="4.625" customWidth="1"/>
    <col min="16" max="17" width="0" hidden="1" customWidth="1"/>
  </cols>
  <sheetData>
    <row r="1" spans="1:16" ht="30" customHeight="1" x14ac:dyDescent="0.3">
      <c r="A1" s="53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</row>
    <row r="2" spans="1:16" ht="20.100000000000001" customHeight="1" x14ac:dyDescent="0.3">
      <c r="B2" s="54" t="s">
        <v>1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</row>
    <row r="4" spans="1:16" ht="21.95" customHeight="1" x14ac:dyDescent="0.3">
      <c r="B4" s="55" t="s">
        <v>2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6" ht="21.95" customHeight="1" x14ac:dyDescent="0.3">
      <c r="B5" s="1" t="s">
        <v>3</v>
      </c>
      <c r="C5" s="56"/>
      <c r="D5" s="52"/>
      <c r="E5" s="1" t="s">
        <v>4</v>
      </c>
      <c r="F5" s="57" t="str">
        <f>IF(C5="","입력 대기",IF(OR(MID(SUBSTITUTE(C5,"-",""),4,2)*1=81,MID(SUBSTITUTE(C5,"-",""),4,2)*1=85,MID(SUBSTITUTE(C5,"-",""),4,2)*1=86,MID(SUBSTITUTE(C5,"-",""),4,2)*1=87),"일반 영리법인",IF(OR(MID(SUBSTITUTE(C5,"-",""),4,2)*1=82,MID(SUBSTITUTE(C5,"-",""),4,2)*1=89,MID(SUBSTITUTE(C5,"-",""),4,2)*1=80),"비영리법인","기타")))</f>
        <v>입력 대기</v>
      </c>
      <c r="G5" s="52"/>
      <c r="H5" s="52"/>
    </row>
    <row r="6" spans="1:16" ht="24" customHeight="1" x14ac:dyDescent="0.3">
      <c r="B6" s="1" t="s">
        <v>5</v>
      </c>
      <c r="C6" s="56"/>
      <c r="D6" s="52"/>
      <c r="E6" s="1" t="s">
        <v>6</v>
      </c>
      <c r="F6" s="2">
        <v>10000</v>
      </c>
      <c r="G6" s="3" t="s">
        <v>7</v>
      </c>
      <c r="H6" s="1" t="s">
        <v>8</v>
      </c>
      <c r="I6" s="2">
        <v>0</v>
      </c>
      <c r="J6" s="3" t="s">
        <v>7</v>
      </c>
      <c r="K6" s="4" t="s">
        <v>9</v>
      </c>
      <c r="M6" s="5">
        <f>F6-I6</f>
        <v>10000</v>
      </c>
      <c r="N6" s="3" t="s">
        <v>7</v>
      </c>
    </row>
    <row r="7" spans="1:16" ht="20.100000000000001" customHeight="1" x14ac:dyDescent="0.3">
      <c r="B7" s="58" t="s">
        <v>10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</row>
    <row r="9" spans="1:16" ht="21.95" customHeight="1" x14ac:dyDescent="0.3">
      <c r="B9" s="59" t="s">
        <v>11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</row>
    <row r="10" spans="1:16" ht="20.100000000000001" customHeight="1" x14ac:dyDescent="0.3"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17</v>
      </c>
    </row>
    <row r="11" spans="1:16" ht="20.100000000000001" customHeight="1" x14ac:dyDescent="0.3">
      <c r="B11" s="7">
        <v>1</v>
      </c>
      <c r="C11" s="8" t="s">
        <v>18</v>
      </c>
      <c r="D11" s="9"/>
      <c r="E11" s="10"/>
      <c r="F11" s="11" t="str">
        <f t="shared" ref="F11:F20" si="0">IF(E11="","",IFERROR(E11/$M$6*100,0))</f>
        <v/>
      </c>
      <c r="G11" s="12" t="str">
        <f t="shared" ref="G11:G20" si="1">IF(E11="","",F11)</f>
        <v/>
      </c>
      <c r="P11" t="str">
        <f t="shared" ref="P11:P20" si="2">IF(C11="법인",D11,"")</f>
        <v/>
      </c>
    </row>
    <row r="12" spans="1:16" ht="20.100000000000001" customHeight="1" x14ac:dyDescent="0.3">
      <c r="B12" s="7">
        <v>2</v>
      </c>
      <c r="C12" s="8" t="s">
        <v>18</v>
      </c>
      <c r="D12" s="9"/>
      <c r="E12" s="10"/>
      <c r="F12" s="11" t="str">
        <f t="shared" si="0"/>
        <v/>
      </c>
      <c r="G12" s="12" t="str">
        <f t="shared" si="1"/>
        <v/>
      </c>
      <c r="P12" t="str">
        <f t="shared" si="2"/>
        <v/>
      </c>
    </row>
    <row r="13" spans="1:16" ht="20.100000000000001" customHeight="1" x14ac:dyDescent="0.3">
      <c r="B13" s="7">
        <v>3</v>
      </c>
      <c r="C13" s="8" t="s">
        <v>18</v>
      </c>
      <c r="D13" s="9"/>
      <c r="E13" s="10"/>
      <c r="F13" s="11" t="str">
        <f t="shared" si="0"/>
        <v/>
      </c>
      <c r="G13" s="12" t="str">
        <f t="shared" si="1"/>
        <v/>
      </c>
      <c r="P13" t="str">
        <f t="shared" si="2"/>
        <v/>
      </c>
    </row>
    <row r="14" spans="1:16" ht="20.100000000000001" customHeight="1" x14ac:dyDescent="0.3">
      <c r="B14" s="7">
        <v>4</v>
      </c>
      <c r="C14" s="8" t="s">
        <v>18</v>
      </c>
      <c r="D14" s="9"/>
      <c r="E14" s="10"/>
      <c r="F14" s="11" t="str">
        <f t="shared" si="0"/>
        <v/>
      </c>
      <c r="G14" s="12" t="str">
        <f t="shared" si="1"/>
        <v/>
      </c>
      <c r="P14" t="str">
        <f t="shared" si="2"/>
        <v/>
      </c>
    </row>
    <row r="15" spans="1:16" ht="20.100000000000001" customHeight="1" x14ac:dyDescent="0.3">
      <c r="B15" s="7">
        <v>5</v>
      </c>
      <c r="C15" s="8" t="s">
        <v>18</v>
      </c>
      <c r="D15" s="9"/>
      <c r="E15" s="10"/>
      <c r="F15" s="11" t="str">
        <f t="shared" si="0"/>
        <v/>
      </c>
      <c r="G15" s="12" t="str">
        <f t="shared" si="1"/>
        <v/>
      </c>
      <c r="P15" t="str">
        <f t="shared" si="2"/>
        <v/>
      </c>
    </row>
    <row r="16" spans="1:16" ht="20.100000000000001" customHeight="1" x14ac:dyDescent="0.3">
      <c r="B16" s="7">
        <v>6</v>
      </c>
      <c r="C16" s="8" t="s">
        <v>18</v>
      </c>
      <c r="D16" s="9"/>
      <c r="E16" s="10"/>
      <c r="F16" s="11" t="str">
        <f t="shared" si="0"/>
        <v/>
      </c>
      <c r="G16" s="12" t="str">
        <f t="shared" si="1"/>
        <v/>
      </c>
      <c r="P16" t="str">
        <f t="shared" si="2"/>
        <v/>
      </c>
    </row>
    <row r="17" spans="2:18" ht="20.100000000000001" customHeight="1" x14ac:dyDescent="0.3">
      <c r="B17" s="7">
        <v>7</v>
      </c>
      <c r="C17" s="8" t="s">
        <v>18</v>
      </c>
      <c r="D17" s="9"/>
      <c r="E17" s="10"/>
      <c r="F17" s="11" t="str">
        <f t="shared" si="0"/>
        <v/>
      </c>
      <c r="G17" s="12" t="str">
        <f t="shared" si="1"/>
        <v/>
      </c>
      <c r="P17" t="str">
        <f t="shared" si="2"/>
        <v/>
      </c>
    </row>
    <row r="18" spans="2:18" ht="20.100000000000001" customHeight="1" x14ac:dyDescent="0.3">
      <c r="B18" s="7">
        <v>8</v>
      </c>
      <c r="C18" s="8" t="s">
        <v>18</v>
      </c>
      <c r="D18" s="9"/>
      <c r="E18" s="10"/>
      <c r="F18" s="11" t="str">
        <f t="shared" si="0"/>
        <v/>
      </c>
      <c r="G18" s="12" t="str">
        <f t="shared" si="1"/>
        <v/>
      </c>
      <c r="P18" t="str">
        <f t="shared" si="2"/>
        <v/>
      </c>
    </row>
    <row r="19" spans="2:18" ht="20.100000000000001" customHeight="1" x14ac:dyDescent="0.3">
      <c r="B19" s="7">
        <v>9</v>
      </c>
      <c r="C19" s="8" t="s">
        <v>18</v>
      </c>
      <c r="D19" s="9"/>
      <c r="E19" s="10"/>
      <c r="F19" s="11" t="str">
        <f t="shared" si="0"/>
        <v/>
      </c>
      <c r="G19" s="12" t="str">
        <f t="shared" si="1"/>
        <v/>
      </c>
      <c r="P19" t="str">
        <f t="shared" si="2"/>
        <v/>
      </c>
    </row>
    <row r="20" spans="2:18" ht="20.100000000000001" customHeight="1" x14ac:dyDescent="0.3">
      <c r="B20" s="7">
        <v>10</v>
      </c>
      <c r="C20" s="8" t="s">
        <v>18</v>
      </c>
      <c r="D20" s="9"/>
      <c r="E20" s="10"/>
      <c r="F20" s="11" t="str">
        <f t="shared" si="0"/>
        <v/>
      </c>
      <c r="G20" s="12" t="str">
        <f t="shared" si="1"/>
        <v/>
      </c>
      <c r="P20" t="str">
        <f t="shared" si="2"/>
        <v/>
      </c>
    </row>
    <row r="22" spans="2:18" ht="21.95" customHeight="1" x14ac:dyDescent="0.3">
      <c r="B22" s="60" t="s">
        <v>19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</row>
    <row r="23" spans="2:18" ht="20.100000000000001" customHeight="1" x14ac:dyDescent="0.3">
      <c r="B23" s="13" t="s">
        <v>12</v>
      </c>
      <c r="C23" s="13" t="s">
        <v>20</v>
      </c>
      <c r="D23" s="13" t="s">
        <v>13</v>
      </c>
      <c r="E23" s="13" t="s">
        <v>14</v>
      </c>
      <c r="F23" s="13" t="s">
        <v>21</v>
      </c>
      <c r="G23" s="13" t="s">
        <v>22</v>
      </c>
      <c r="H23" s="13" t="s">
        <v>16</v>
      </c>
      <c r="I23" s="13" t="s">
        <v>17</v>
      </c>
    </row>
    <row r="24" spans="2:18" ht="20.100000000000001" customHeight="1" x14ac:dyDescent="0.3">
      <c r="B24" s="7">
        <v>1</v>
      </c>
      <c r="C24" s="9"/>
      <c r="D24" s="8" t="s">
        <v>18</v>
      </c>
      <c r="E24" s="9"/>
      <c r="F24" s="10"/>
      <c r="G24" s="10"/>
      <c r="H24" s="11" t="str">
        <f t="shared" ref="H24:H43" si="3">IF(F24="","",IFERROR(F24/G24*100,0))</f>
        <v/>
      </c>
      <c r="I24" s="12" t="str">
        <f t="shared" ref="I24:I43" si="4">IF(OR(E24="",C24=""),"",IFERROR(H24*VLOOKUP(C24,$D$11:$G$20,4,0)/100,0))</f>
        <v/>
      </c>
      <c r="Q24" t="str">
        <f t="shared" ref="Q24:Q43" si="5">IF(D24="법인",E24,"")</f>
        <v/>
      </c>
      <c r="R24" t="str">
        <f>IF(AND(D24="개인",E24&lt;&gt;"",COUNTIF($D$11:$D$20,E24)=0,COUNTIF($E$24:E24,E24)=1),E24,"")</f>
        <v/>
      </c>
    </row>
    <row r="25" spans="2:18" ht="20.100000000000001" customHeight="1" x14ac:dyDescent="0.3">
      <c r="B25" s="7">
        <v>2</v>
      </c>
      <c r="C25" s="9"/>
      <c r="D25" s="8" t="s">
        <v>18</v>
      </c>
      <c r="E25" s="9"/>
      <c r="F25" s="10"/>
      <c r="G25" s="10"/>
      <c r="H25" s="11" t="str">
        <f t="shared" si="3"/>
        <v/>
      </c>
      <c r="I25" s="12" t="str">
        <f t="shared" si="4"/>
        <v/>
      </c>
      <c r="Q25" t="str">
        <f t="shared" si="5"/>
        <v/>
      </c>
      <c r="R25" t="str">
        <f>IF(AND(D25="개인",E25&lt;&gt;"",COUNTIF($D$11:$D$20,E25)=0,COUNTIF($E$24:E25,E25)=1),E25,"")</f>
        <v/>
      </c>
    </row>
    <row r="26" spans="2:18" ht="20.100000000000001" customHeight="1" x14ac:dyDescent="0.3">
      <c r="B26" s="7">
        <v>3</v>
      </c>
      <c r="C26" s="9"/>
      <c r="D26" s="8" t="s">
        <v>18</v>
      </c>
      <c r="E26" s="9"/>
      <c r="F26" s="10"/>
      <c r="G26" s="10"/>
      <c r="H26" s="11" t="str">
        <f t="shared" si="3"/>
        <v/>
      </c>
      <c r="I26" s="12" t="str">
        <f t="shared" si="4"/>
        <v/>
      </c>
      <c r="Q26" t="str">
        <f t="shared" si="5"/>
        <v/>
      </c>
      <c r="R26" t="str">
        <f>IF(AND(D26="개인",E26&lt;&gt;"",COUNTIF($D$11:$D$20,E26)=0,COUNTIF($E$24:E26,E26)=1),E26,"")</f>
        <v/>
      </c>
    </row>
    <row r="27" spans="2:18" ht="20.100000000000001" customHeight="1" x14ac:dyDescent="0.3">
      <c r="B27" s="7">
        <v>4</v>
      </c>
      <c r="C27" s="9"/>
      <c r="D27" s="8" t="s">
        <v>18</v>
      </c>
      <c r="E27" s="9"/>
      <c r="F27" s="10"/>
      <c r="G27" s="10"/>
      <c r="H27" s="11" t="str">
        <f t="shared" si="3"/>
        <v/>
      </c>
      <c r="I27" s="12" t="str">
        <f t="shared" si="4"/>
        <v/>
      </c>
      <c r="Q27" t="str">
        <f t="shared" si="5"/>
        <v/>
      </c>
      <c r="R27" t="str">
        <f>IF(AND(D27="개인",E27&lt;&gt;"",COUNTIF($D$11:$D$20,E27)=0,COUNTIF($E$24:E27,E27)=1),E27,"")</f>
        <v/>
      </c>
    </row>
    <row r="28" spans="2:18" ht="20.100000000000001" customHeight="1" x14ac:dyDescent="0.3">
      <c r="B28" s="7">
        <v>5</v>
      </c>
      <c r="C28" s="9"/>
      <c r="D28" s="8" t="s">
        <v>18</v>
      </c>
      <c r="E28" s="9"/>
      <c r="F28" s="10"/>
      <c r="G28" s="10"/>
      <c r="H28" s="11" t="str">
        <f t="shared" si="3"/>
        <v/>
      </c>
      <c r="I28" s="12" t="str">
        <f t="shared" si="4"/>
        <v/>
      </c>
      <c r="Q28" t="str">
        <f t="shared" si="5"/>
        <v/>
      </c>
      <c r="R28" t="str">
        <f>IF(AND(D28="개인",E28&lt;&gt;"",COUNTIF($D$11:$D$20,E28)=0,COUNTIF($E$24:E28,E28)=1),E28,"")</f>
        <v/>
      </c>
    </row>
    <row r="29" spans="2:18" ht="20.100000000000001" customHeight="1" x14ac:dyDescent="0.3">
      <c r="B29" s="7">
        <v>6</v>
      </c>
      <c r="C29" s="9"/>
      <c r="D29" s="8" t="s">
        <v>18</v>
      </c>
      <c r="E29" s="9"/>
      <c r="F29" s="10"/>
      <c r="G29" s="10"/>
      <c r="H29" s="11" t="str">
        <f t="shared" si="3"/>
        <v/>
      </c>
      <c r="I29" s="12" t="str">
        <f t="shared" si="4"/>
        <v/>
      </c>
      <c r="Q29" t="str">
        <f t="shared" si="5"/>
        <v/>
      </c>
      <c r="R29" t="str">
        <f>IF(AND(D29="개인",E29&lt;&gt;"",COUNTIF($D$11:$D$20,E29)=0,COUNTIF($E$24:E29,E29)=1),E29,"")</f>
        <v/>
      </c>
    </row>
    <row r="30" spans="2:18" ht="20.100000000000001" customHeight="1" x14ac:dyDescent="0.3">
      <c r="B30" s="7">
        <v>7</v>
      </c>
      <c r="C30" s="9"/>
      <c r="D30" s="8" t="s">
        <v>18</v>
      </c>
      <c r="E30" s="9"/>
      <c r="F30" s="10"/>
      <c r="G30" s="10"/>
      <c r="H30" s="11" t="str">
        <f t="shared" si="3"/>
        <v/>
      </c>
      <c r="I30" s="12" t="str">
        <f t="shared" si="4"/>
        <v/>
      </c>
      <c r="Q30" t="str">
        <f t="shared" si="5"/>
        <v/>
      </c>
      <c r="R30" t="str">
        <f>IF(AND(D30="개인",E30&lt;&gt;"",COUNTIF($D$11:$D$20,E30)=0,COUNTIF($E$24:E30,E30)=1),E30,"")</f>
        <v/>
      </c>
    </row>
    <row r="31" spans="2:18" ht="20.100000000000001" customHeight="1" x14ac:dyDescent="0.3">
      <c r="B31" s="7">
        <v>8</v>
      </c>
      <c r="C31" s="9"/>
      <c r="D31" s="8" t="s">
        <v>18</v>
      </c>
      <c r="E31" s="9"/>
      <c r="F31" s="10"/>
      <c r="G31" s="10"/>
      <c r="H31" s="11" t="str">
        <f t="shared" si="3"/>
        <v/>
      </c>
      <c r="I31" s="12" t="str">
        <f t="shared" si="4"/>
        <v/>
      </c>
      <c r="Q31" t="str">
        <f t="shared" si="5"/>
        <v/>
      </c>
      <c r="R31" t="str">
        <f>IF(AND(D31="개인",E31&lt;&gt;"",COUNTIF($D$11:$D$20,E31)=0,COUNTIF($E$24:E31,E31)=1),E31,"")</f>
        <v/>
      </c>
    </row>
    <row r="32" spans="2:18" ht="20.100000000000001" customHeight="1" x14ac:dyDescent="0.3">
      <c r="B32" s="7">
        <v>9</v>
      </c>
      <c r="C32" s="9"/>
      <c r="D32" s="8" t="s">
        <v>18</v>
      </c>
      <c r="E32" s="9"/>
      <c r="F32" s="10"/>
      <c r="G32" s="10"/>
      <c r="H32" s="11" t="str">
        <f t="shared" si="3"/>
        <v/>
      </c>
      <c r="I32" s="12" t="str">
        <f t="shared" si="4"/>
        <v/>
      </c>
      <c r="Q32" t="str">
        <f t="shared" si="5"/>
        <v/>
      </c>
      <c r="R32" t="str">
        <f>IF(AND(D32="개인",E32&lt;&gt;"",COUNTIF($D$11:$D$20,E32)=0,COUNTIF($E$24:E32,E32)=1),E32,"")</f>
        <v/>
      </c>
    </row>
    <row r="33" spans="2:18" ht="20.100000000000001" customHeight="1" x14ac:dyDescent="0.3">
      <c r="B33" s="7">
        <v>10</v>
      </c>
      <c r="C33" s="9"/>
      <c r="D33" s="8" t="s">
        <v>18</v>
      </c>
      <c r="E33" s="9"/>
      <c r="F33" s="10"/>
      <c r="G33" s="10"/>
      <c r="H33" s="11" t="str">
        <f t="shared" si="3"/>
        <v/>
      </c>
      <c r="I33" s="12" t="str">
        <f t="shared" si="4"/>
        <v/>
      </c>
      <c r="Q33" t="str">
        <f t="shared" si="5"/>
        <v/>
      </c>
      <c r="R33" t="str">
        <f>IF(AND(D33="개인",E33&lt;&gt;"",COUNTIF($D$11:$D$20,E33)=0,COUNTIF($E$24:E33,E33)=1),E33,"")</f>
        <v/>
      </c>
    </row>
    <row r="34" spans="2:18" ht="20.100000000000001" customHeight="1" x14ac:dyDescent="0.3">
      <c r="B34" s="7">
        <v>11</v>
      </c>
      <c r="C34" s="9"/>
      <c r="D34" s="8" t="s">
        <v>18</v>
      </c>
      <c r="E34" s="9"/>
      <c r="F34" s="10"/>
      <c r="G34" s="10"/>
      <c r="H34" s="11" t="str">
        <f t="shared" si="3"/>
        <v/>
      </c>
      <c r="I34" s="12" t="str">
        <f t="shared" si="4"/>
        <v/>
      </c>
      <c r="Q34" t="str">
        <f t="shared" si="5"/>
        <v/>
      </c>
      <c r="R34" t="str">
        <f>IF(AND(D34="개인",E34&lt;&gt;"",COUNTIF($D$11:$D$20,E34)=0,COUNTIF($E$24:E34,E34)=1),E34,"")</f>
        <v/>
      </c>
    </row>
    <row r="35" spans="2:18" ht="20.100000000000001" customHeight="1" x14ac:dyDescent="0.3">
      <c r="B35" s="7">
        <v>12</v>
      </c>
      <c r="C35" s="9"/>
      <c r="D35" s="8" t="s">
        <v>18</v>
      </c>
      <c r="E35" s="9"/>
      <c r="F35" s="10"/>
      <c r="G35" s="10"/>
      <c r="H35" s="11" t="str">
        <f t="shared" si="3"/>
        <v/>
      </c>
      <c r="I35" s="12" t="str">
        <f t="shared" si="4"/>
        <v/>
      </c>
      <c r="Q35" t="str">
        <f t="shared" si="5"/>
        <v/>
      </c>
      <c r="R35" t="str">
        <f>IF(AND(D35="개인",E35&lt;&gt;"",COUNTIF($D$11:$D$20,E35)=0,COUNTIF($E$24:E35,E35)=1),E35,"")</f>
        <v/>
      </c>
    </row>
    <row r="36" spans="2:18" ht="20.100000000000001" customHeight="1" x14ac:dyDescent="0.3">
      <c r="B36" s="7">
        <v>13</v>
      </c>
      <c r="C36" s="9"/>
      <c r="D36" s="8" t="s">
        <v>18</v>
      </c>
      <c r="E36" s="9"/>
      <c r="F36" s="10"/>
      <c r="G36" s="10"/>
      <c r="H36" s="11" t="str">
        <f t="shared" si="3"/>
        <v/>
      </c>
      <c r="I36" s="12" t="str">
        <f t="shared" si="4"/>
        <v/>
      </c>
      <c r="Q36" t="str">
        <f t="shared" si="5"/>
        <v/>
      </c>
      <c r="R36" t="str">
        <f>IF(AND(D36="개인",E36&lt;&gt;"",COUNTIF($D$11:$D$20,E36)=0,COUNTIF($E$24:E36,E36)=1),E36,"")</f>
        <v/>
      </c>
    </row>
    <row r="37" spans="2:18" ht="20.100000000000001" customHeight="1" x14ac:dyDescent="0.3">
      <c r="B37" s="7">
        <v>14</v>
      </c>
      <c r="C37" s="9"/>
      <c r="D37" s="8" t="s">
        <v>18</v>
      </c>
      <c r="E37" s="9"/>
      <c r="F37" s="10"/>
      <c r="G37" s="10"/>
      <c r="H37" s="11" t="str">
        <f t="shared" si="3"/>
        <v/>
      </c>
      <c r="I37" s="12" t="str">
        <f t="shared" si="4"/>
        <v/>
      </c>
      <c r="Q37" t="str">
        <f t="shared" si="5"/>
        <v/>
      </c>
      <c r="R37" t="str">
        <f>IF(AND(D37="개인",E37&lt;&gt;"",COUNTIF($D$11:$D$20,E37)=0,COUNTIF($E$24:E37,E37)=1),E37,"")</f>
        <v/>
      </c>
    </row>
    <row r="38" spans="2:18" ht="20.100000000000001" customHeight="1" x14ac:dyDescent="0.3">
      <c r="B38" s="7">
        <v>15</v>
      </c>
      <c r="C38" s="9"/>
      <c r="D38" s="8" t="s">
        <v>18</v>
      </c>
      <c r="E38" s="9"/>
      <c r="F38" s="10"/>
      <c r="G38" s="10"/>
      <c r="H38" s="11" t="str">
        <f t="shared" si="3"/>
        <v/>
      </c>
      <c r="I38" s="12" t="str">
        <f t="shared" si="4"/>
        <v/>
      </c>
      <c r="Q38" t="str">
        <f t="shared" si="5"/>
        <v/>
      </c>
      <c r="R38" t="str">
        <f>IF(AND(D38="개인",E38&lt;&gt;"",COUNTIF($D$11:$D$20,E38)=0,COUNTIF($E$24:E38,E38)=1),E38,"")</f>
        <v/>
      </c>
    </row>
    <row r="39" spans="2:18" ht="20.100000000000001" customHeight="1" x14ac:dyDescent="0.3">
      <c r="B39" s="7">
        <v>16</v>
      </c>
      <c r="C39" s="9"/>
      <c r="D39" s="8" t="s">
        <v>18</v>
      </c>
      <c r="E39" s="9"/>
      <c r="F39" s="10"/>
      <c r="G39" s="10"/>
      <c r="H39" s="11" t="str">
        <f t="shared" si="3"/>
        <v/>
      </c>
      <c r="I39" s="12" t="str">
        <f t="shared" si="4"/>
        <v/>
      </c>
      <c r="Q39" t="str">
        <f t="shared" si="5"/>
        <v/>
      </c>
      <c r="R39" t="str">
        <f>IF(AND(D39="개인",E39&lt;&gt;"",COUNTIF($D$11:$D$20,E39)=0,COUNTIF($E$24:E39,E39)=1),E39,"")</f>
        <v/>
      </c>
    </row>
    <row r="40" spans="2:18" ht="20.100000000000001" customHeight="1" x14ac:dyDescent="0.3">
      <c r="B40" s="7">
        <v>17</v>
      </c>
      <c r="C40" s="9"/>
      <c r="D40" s="8" t="s">
        <v>18</v>
      </c>
      <c r="E40" s="9"/>
      <c r="F40" s="10"/>
      <c r="G40" s="10"/>
      <c r="H40" s="11" t="str">
        <f t="shared" si="3"/>
        <v/>
      </c>
      <c r="I40" s="12" t="str">
        <f t="shared" si="4"/>
        <v/>
      </c>
      <c r="Q40" t="str">
        <f t="shared" si="5"/>
        <v/>
      </c>
      <c r="R40" t="str">
        <f>IF(AND(D40="개인",E40&lt;&gt;"",COUNTIF($D$11:$D$20,E40)=0,COUNTIF($E$24:E40,E40)=1),E40,"")</f>
        <v/>
      </c>
    </row>
    <row r="41" spans="2:18" ht="20.100000000000001" customHeight="1" x14ac:dyDescent="0.3">
      <c r="B41" s="7">
        <v>18</v>
      </c>
      <c r="C41" s="9"/>
      <c r="D41" s="8" t="s">
        <v>18</v>
      </c>
      <c r="E41" s="9"/>
      <c r="F41" s="10"/>
      <c r="G41" s="10"/>
      <c r="H41" s="11" t="str">
        <f t="shared" si="3"/>
        <v/>
      </c>
      <c r="I41" s="12" t="str">
        <f t="shared" si="4"/>
        <v/>
      </c>
      <c r="Q41" t="str">
        <f t="shared" si="5"/>
        <v/>
      </c>
      <c r="R41" t="str">
        <f>IF(AND(D41="개인",E41&lt;&gt;"",COUNTIF($D$11:$D$20,E41)=0,COUNTIF($E$24:E41,E41)=1),E41,"")</f>
        <v/>
      </c>
    </row>
    <row r="42" spans="2:18" ht="20.100000000000001" customHeight="1" x14ac:dyDescent="0.3">
      <c r="B42" s="7">
        <v>19</v>
      </c>
      <c r="C42" s="9"/>
      <c r="D42" s="8" t="s">
        <v>18</v>
      </c>
      <c r="E42" s="9"/>
      <c r="F42" s="10"/>
      <c r="G42" s="10"/>
      <c r="H42" s="11" t="str">
        <f t="shared" si="3"/>
        <v/>
      </c>
      <c r="I42" s="12" t="str">
        <f t="shared" si="4"/>
        <v/>
      </c>
      <c r="Q42" t="str">
        <f t="shared" si="5"/>
        <v/>
      </c>
      <c r="R42" t="str">
        <f>IF(AND(D42="개인",E42&lt;&gt;"",COUNTIF($D$11:$D$20,E42)=0,COUNTIF($E$24:E42,E42)=1),E42,"")</f>
        <v/>
      </c>
    </row>
    <row r="43" spans="2:18" ht="20.100000000000001" customHeight="1" x14ac:dyDescent="0.3">
      <c r="B43" s="7">
        <v>20</v>
      </c>
      <c r="C43" s="9"/>
      <c r="D43" s="8" t="s">
        <v>18</v>
      </c>
      <c r="E43" s="9"/>
      <c r="F43" s="10"/>
      <c r="G43" s="10"/>
      <c r="H43" s="11" t="str">
        <f t="shared" si="3"/>
        <v/>
      </c>
      <c r="I43" s="12" t="str">
        <f t="shared" si="4"/>
        <v/>
      </c>
      <c r="Q43" t="str">
        <f t="shared" si="5"/>
        <v/>
      </c>
      <c r="R43" t="str">
        <f>IF(AND(D43="개인",E43&lt;&gt;"",COUNTIF($D$11:$D$20,E43)=0,COUNTIF($E$24:E43,E43)=1),E43,"")</f>
        <v/>
      </c>
    </row>
    <row r="45" spans="2:18" ht="21.95" customHeight="1" x14ac:dyDescent="0.3">
      <c r="B45" s="61" t="s">
        <v>23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</row>
    <row r="46" spans="2:18" ht="20.100000000000001" customHeight="1" x14ac:dyDescent="0.3">
      <c r="B46" s="14" t="s">
        <v>12</v>
      </c>
      <c r="C46" s="14" t="s">
        <v>24</v>
      </c>
      <c r="D46" s="14" t="s">
        <v>13</v>
      </c>
      <c r="E46" s="14" t="s">
        <v>14</v>
      </c>
      <c r="F46" s="14" t="s">
        <v>21</v>
      </c>
      <c r="G46" s="14" t="s">
        <v>22</v>
      </c>
      <c r="H46" s="14" t="s">
        <v>16</v>
      </c>
      <c r="I46" s="14" t="s">
        <v>17</v>
      </c>
    </row>
    <row r="47" spans="2:18" ht="20.100000000000001" customHeight="1" x14ac:dyDescent="0.3">
      <c r="B47" s="7">
        <v>1</v>
      </c>
      <c r="C47" s="9"/>
      <c r="D47" s="8" t="s">
        <v>18</v>
      </c>
      <c r="E47" s="9"/>
      <c r="F47" s="10"/>
      <c r="G47" s="10"/>
      <c r="H47" s="11" t="str">
        <f t="shared" ref="H47:H66" si="6">IF(F47="","",IFERROR(F47/G47*100,0))</f>
        <v/>
      </c>
      <c r="I47" s="12" t="str">
        <f t="shared" ref="I47:I66" si="7">IF(OR(E47="",C47=""),"",IFERROR(H47*VLOOKUP(C47,$E$24:$I$43,5,0)/100,0))</f>
        <v/>
      </c>
      <c r="R47" t="str">
        <f>IF(AND(D47="개인",E47&lt;&gt;"",COUNTIF($D$11:$D$20,E47)=0,COUNTIF($E$24:$E$43,E47)=0,COUNTIF($E$47:E47,E47)=1),E47,"")</f>
        <v/>
      </c>
    </row>
    <row r="48" spans="2:18" ht="20.100000000000001" customHeight="1" x14ac:dyDescent="0.3">
      <c r="B48" s="7">
        <v>2</v>
      </c>
      <c r="C48" s="9"/>
      <c r="D48" s="8" t="s">
        <v>18</v>
      </c>
      <c r="E48" s="9"/>
      <c r="F48" s="10"/>
      <c r="G48" s="10"/>
      <c r="H48" s="11" t="str">
        <f t="shared" si="6"/>
        <v/>
      </c>
      <c r="I48" s="12" t="str">
        <f t="shared" si="7"/>
        <v/>
      </c>
      <c r="R48" t="str">
        <f>IF(AND(D48="개인",E48&lt;&gt;"",COUNTIF($D$11:$D$20,E48)=0,COUNTIF($E$24:$E$43,E48)=0,COUNTIF($E$47:E48,E48)=1),E48,"")</f>
        <v/>
      </c>
    </row>
    <row r="49" spans="2:18" ht="20.100000000000001" customHeight="1" x14ac:dyDescent="0.3">
      <c r="B49" s="7">
        <v>3</v>
      </c>
      <c r="C49" s="9"/>
      <c r="D49" s="8" t="s">
        <v>18</v>
      </c>
      <c r="E49" s="9"/>
      <c r="F49" s="10"/>
      <c r="G49" s="10"/>
      <c r="H49" s="11" t="str">
        <f t="shared" si="6"/>
        <v/>
      </c>
      <c r="I49" s="12" t="str">
        <f t="shared" si="7"/>
        <v/>
      </c>
      <c r="R49" t="str">
        <f>IF(AND(D49="개인",E49&lt;&gt;"",COUNTIF($D$11:$D$20,E49)=0,COUNTIF($E$24:$E$43,E49)=0,COUNTIF($E$47:E49,E49)=1),E49,"")</f>
        <v/>
      </c>
    </row>
    <row r="50" spans="2:18" ht="20.100000000000001" customHeight="1" x14ac:dyDescent="0.3">
      <c r="B50" s="7">
        <v>4</v>
      </c>
      <c r="C50" s="9"/>
      <c r="D50" s="8" t="s">
        <v>18</v>
      </c>
      <c r="E50" s="9"/>
      <c r="F50" s="10"/>
      <c r="G50" s="10"/>
      <c r="H50" s="11" t="str">
        <f t="shared" si="6"/>
        <v/>
      </c>
      <c r="I50" s="12" t="str">
        <f t="shared" si="7"/>
        <v/>
      </c>
      <c r="R50" t="str">
        <f>IF(AND(D50="개인",E50&lt;&gt;"",COUNTIF($D$11:$D$20,E50)=0,COUNTIF($E$24:$E$43,E50)=0,COUNTIF($E$47:E50,E50)=1),E50,"")</f>
        <v/>
      </c>
    </row>
    <row r="51" spans="2:18" ht="20.100000000000001" customHeight="1" x14ac:dyDescent="0.3">
      <c r="B51" s="7">
        <v>5</v>
      </c>
      <c r="C51" s="9"/>
      <c r="D51" s="8" t="s">
        <v>18</v>
      </c>
      <c r="E51" s="9"/>
      <c r="F51" s="10"/>
      <c r="G51" s="10"/>
      <c r="H51" s="11" t="str">
        <f t="shared" si="6"/>
        <v/>
      </c>
      <c r="I51" s="12" t="str">
        <f t="shared" si="7"/>
        <v/>
      </c>
      <c r="R51" t="str">
        <f>IF(AND(D51="개인",E51&lt;&gt;"",COUNTIF($D$11:$D$20,E51)=0,COUNTIF($E$24:$E$43,E51)=0,COUNTIF($E$47:E51,E51)=1),E51,"")</f>
        <v/>
      </c>
    </row>
    <row r="52" spans="2:18" ht="20.100000000000001" customHeight="1" x14ac:dyDescent="0.3">
      <c r="B52" s="7">
        <v>6</v>
      </c>
      <c r="C52" s="9"/>
      <c r="D52" s="8" t="s">
        <v>18</v>
      </c>
      <c r="E52" s="9"/>
      <c r="F52" s="10"/>
      <c r="G52" s="10"/>
      <c r="H52" s="11" t="str">
        <f t="shared" si="6"/>
        <v/>
      </c>
      <c r="I52" s="12" t="str">
        <f t="shared" si="7"/>
        <v/>
      </c>
      <c r="R52" t="str">
        <f>IF(AND(D52="개인",E52&lt;&gt;"",COUNTIF($D$11:$D$20,E52)=0,COUNTIF($E$24:$E$43,E52)=0,COUNTIF($E$47:E52,E52)=1),E52,"")</f>
        <v/>
      </c>
    </row>
    <row r="53" spans="2:18" ht="20.100000000000001" customHeight="1" x14ac:dyDescent="0.3">
      <c r="B53" s="7">
        <v>7</v>
      </c>
      <c r="C53" s="9"/>
      <c r="D53" s="8" t="s">
        <v>18</v>
      </c>
      <c r="E53" s="9"/>
      <c r="F53" s="10"/>
      <c r="G53" s="10"/>
      <c r="H53" s="11" t="str">
        <f t="shared" si="6"/>
        <v/>
      </c>
      <c r="I53" s="12" t="str">
        <f t="shared" si="7"/>
        <v/>
      </c>
      <c r="R53" t="str">
        <f>IF(AND(D53="개인",E53&lt;&gt;"",COUNTIF($D$11:$D$20,E53)=0,COUNTIF($E$24:$E$43,E53)=0,COUNTIF($E$47:E53,E53)=1),E53,"")</f>
        <v/>
      </c>
    </row>
    <row r="54" spans="2:18" ht="20.100000000000001" customHeight="1" x14ac:dyDescent="0.3">
      <c r="B54" s="7">
        <v>8</v>
      </c>
      <c r="C54" s="9"/>
      <c r="D54" s="8" t="s">
        <v>18</v>
      </c>
      <c r="E54" s="9"/>
      <c r="F54" s="10"/>
      <c r="G54" s="10"/>
      <c r="H54" s="11" t="str">
        <f t="shared" si="6"/>
        <v/>
      </c>
      <c r="I54" s="12" t="str">
        <f t="shared" si="7"/>
        <v/>
      </c>
      <c r="R54" t="str">
        <f>IF(AND(D54="개인",E54&lt;&gt;"",COUNTIF($D$11:$D$20,E54)=0,COUNTIF($E$24:$E$43,E54)=0,COUNTIF($E$47:E54,E54)=1),E54,"")</f>
        <v/>
      </c>
    </row>
    <row r="55" spans="2:18" ht="20.100000000000001" customHeight="1" x14ac:dyDescent="0.3">
      <c r="B55" s="7">
        <v>9</v>
      </c>
      <c r="C55" s="9"/>
      <c r="D55" s="8" t="s">
        <v>18</v>
      </c>
      <c r="E55" s="9"/>
      <c r="F55" s="10"/>
      <c r="G55" s="10"/>
      <c r="H55" s="11" t="str">
        <f t="shared" si="6"/>
        <v/>
      </c>
      <c r="I55" s="12" t="str">
        <f t="shared" si="7"/>
        <v/>
      </c>
      <c r="R55" t="str">
        <f>IF(AND(D55="개인",E55&lt;&gt;"",COUNTIF($D$11:$D$20,E55)=0,COUNTIF($E$24:$E$43,E55)=0,COUNTIF($E$47:E55,E55)=1),E55,"")</f>
        <v/>
      </c>
    </row>
    <row r="56" spans="2:18" ht="20.100000000000001" customHeight="1" x14ac:dyDescent="0.3">
      <c r="B56" s="7">
        <v>10</v>
      </c>
      <c r="C56" s="9"/>
      <c r="D56" s="8" t="s">
        <v>18</v>
      </c>
      <c r="E56" s="9"/>
      <c r="F56" s="10"/>
      <c r="G56" s="10"/>
      <c r="H56" s="11" t="str">
        <f t="shared" si="6"/>
        <v/>
      </c>
      <c r="I56" s="12" t="str">
        <f t="shared" si="7"/>
        <v/>
      </c>
      <c r="R56" t="str">
        <f>IF(AND(D56="개인",E56&lt;&gt;"",COUNTIF($D$11:$D$20,E56)=0,COUNTIF($E$24:$E$43,E56)=0,COUNTIF($E$47:E56,E56)=1),E56,"")</f>
        <v/>
      </c>
    </row>
    <row r="57" spans="2:18" ht="20.100000000000001" customHeight="1" x14ac:dyDescent="0.3">
      <c r="B57" s="7">
        <v>11</v>
      </c>
      <c r="C57" s="9"/>
      <c r="D57" s="8" t="s">
        <v>18</v>
      </c>
      <c r="E57" s="9"/>
      <c r="F57" s="10"/>
      <c r="G57" s="10"/>
      <c r="H57" s="11" t="str">
        <f t="shared" si="6"/>
        <v/>
      </c>
      <c r="I57" s="12" t="str">
        <f t="shared" si="7"/>
        <v/>
      </c>
      <c r="R57" t="str">
        <f>IF(AND(D57="개인",E57&lt;&gt;"",COUNTIF($D$11:$D$20,E57)=0,COUNTIF($E$24:$E$43,E57)=0,COUNTIF($E$47:E57,E57)=1),E57,"")</f>
        <v/>
      </c>
    </row>
    <row r="58" spans="2:18" ht="20.100000000000001" customHeight="1" x14ac:dyDescent="0.3">
      <c r="B58" s="7">
        <v>12</v>
      </c>
      <c r="C58" s="9"/>
      <c r="D58" s="8" t="s">
        <v>18</v>
      </c>
      <c r="E58" s="9"/>
      <c r="F58" s="10"/>
      <c r="G58" s="10"/>
      <c r="H58" s="11" t="str">
        <f t="shared" si="6"/>
        <v/>
      </c>
      <c r="I58" s="12" t="str">
        <f t="shared" si="7"/>
        <v/>
      </c>
      <c r="R58" t="str">
        <f>IF(AND(D58="개인",E58&lt;&gt;"",COUNTIF($D$11:$D$20,E58)=0,COUNTIF($E$24:$E$43,E58)=0,COUNTIF($E$47:E58,E58)=1),E58,"")</f>
        <v/>
      </c>
    </row>
    <row r="59" spans="2:18" ht="20.100000000000001" customHeight="1" x14ac:dyDescent="0.3">
      <c r="B59" s="7">
        <v>13</v>
      </c>
      <c r="C59" s="9"/>
      <c r="D59" s="8" t="s">
        <v>18</v>
      </c>
      <c r="E59" s="9"/>
      <c r="F59" s="10"/>
      <c r="G59" s="10"/>
      <c r="H59" s="11" t="str">
        <f t="shared" si="6"/>
        <v/>
      </c>
      <c r="I59" s="12" t="str">
        <f t="shared" si="7"/>
        <v/>
      </c>
      <c r="R59" t="str">
        <f>IF(AND(D59="개인",E59&lt;&gt;"",COUNTIF($D$11:$D$20,E59)=0,COUNTIF($E$24:$E$43,E59)=0,COUNTIF($E$47:E59,E59)=1),E59,"")</f>
        <v/>
      </c>
    </row>
    <row r="60" spans="2:18" ht="20.100000000000001" customHeight="1" x14ac:dyDescent="0.3">
      <c r="B60" s="7">
        <v>14</v>
      </c>
      <c r="C60" s="9"/>
      <c r="D60" s="8" t="s">
        <v>18</v>
      </c>
      <c r="E60" s="9"/>
      <c r="F60" s="10"/>
      <c r="G60" s="10"/>
      <c r="H60" s="11" t="str">
        <f t="shared" si="6"/>
        <v/>
      </c>
      <c r="I60" s="12" t="str">
        <f t="shared" si="7"/>
        <v/>
      </c>
      <c r="R60" t="str">
        <f>IF(AND(D60="개인",E60&lt;&gt;"",COUNTIF($D$11:$D$20,E60)=0,COUNTIF($E$24:$E$43,E60)=0,COUNTIF($E$47:E60,E60)=1),E60,"")</f>
        <v/>
      </c>
    </row>
    <row r="61" spans="2:18" ht="20.100000000000001" customHeight="1" x14ac:dyDescent="0.3">
      <c r="B61" s="7">
        <v>15</v>
      </c>
      <c r="C61" s="9"/>
      <c r="D61" s="8" t="s">
        <v>18</v>
      </c>
      <c r="E61" s="9"/>
      <c r="F61" s="10"/>
      <c r="G61" s="10"/>
      <c r="H61" s="11" t="str">
        <f t="shared" si="6"/>
        <v/>
      </c>
      <c r="I61" s="12" t="str">
        <f t="shared" si="7"/>
        <v/>
      </c>
      <c r="R61" t="str">
        <f>IF(AND(D61="개인",E61&lt;&gt;"",COUNTIF($D$11:$D$20,E61)=0,COUNTIF($E$24:$E$43,E61)=0,COUNTIF($E$47:E61,E61)=1),E61,"")</f>
        <v/>
      </c>
    </row>
    <row r="62" spans="2:18" ht="20.100000000000001" customHeight="1" x14ac:dyDescent="0.3">
      <c r="B62" s="7">
        <v>16</v>
      </c>
      <c r="C62" s="9"/>
      <c r="D62" s="8" t="s">
        <v>18</v>
      </c>
      <c r="E62" s="9"/>
      <c r="F62" s="10"/>
      <c r="G62" s="10"/>
      <c r="H62" s="11" t="str">
        <f t="shared" si="6"/>
        <v/>
      </c>
      <c r="I62" s="12" t="str">
        <f t="shared" si="7"/>
        <v/>
      </c>
      <c r="R62" t="str">
        <f>IF(AND(D62="개인",E62&lt;&gt;"",COUNTIF($D$11:$D$20,E62)=0,COUNTIF($E$24:$E$43,E62)=0,COUNTIF($E$47:E62,E62)=1),E62,"")</f>
        <v/>
      </c>
    </row>
    <row r="63" spans="2:18" ht="20.100000000000001" customHeight="1" x14ac:dyDescent="0.3">
      <c r="B63" s="7">
        <v>17</v>
      </c>
      <c r="C63" s="9"/>
      <c r="D63" s="8" t="s">
        <v>18</v>
      </c>
      <c r="E63" s="9"/>
      <c r="F63" s="10"/>
      <c r="G63" s="10"/>
      <c r="H63" s="11" t="str">
        <f t="shared" si="6"/>
        <v/>
      </c>
      <c r="I63" s="12" t="str">
        <f t="shared" si="7"/>
        <v/>
      </c>
      <c r="R63" t="str">
        <f>IF(AND(D63="개인",E63&lt;&gt;"",COUNTIF($D$11:$D$20,E63)=0,COUNTIF($E$24:$E$43,E63)=0,COUNTIF($E$47:E63,E63)=1),E63,"")</f>
        <v/>
      </c>
    </row>
    <row r="64" spans="2:18" ht="20.100000000000001" customHeight="1" x14ac:dyDescent="0.3">
      <c r="B64" s="7">
        <v>18</v>
      </c>
      <c r="C64" s="9"/>
      <c r="D64" s="8" t="s">
        <v>18</v>
      </c>
      <c r="E64" s="9"/>
      <c r="F64" s="10"/>
      <c r="G64" s="10"/>
      <c r="H64" s="11" t="str">
        <f t="shared" si="6"/>
        <v/>
      </c>
      <c r="I64" s="12" t="str">
        <f t="shared" si="7"/>
        <v/>
      </c>
      <c r="R64" t="str">
        <f>IF(AND(D64="개인",E64&lt;&gt;"",COUNTIF($D$11:$D$20,E64)=0,COUNTIF($E$24:$E$43,E64)=0,COUNTIF($E$47:E64,E64)=1),E64,"")</f>
        <v/>
      </c>
    </row>
    <row r="65" spans="2:18" ht="20.100000000000001" customHeight="1" x14ac:dyDescent="0.3">
      <c r="B65" s="7">
        <v>19</v>
      </c>
      <c r="C65" s="9"/>
      <c r="D65" s="8" t="s">
        <v>18</v>
      </c>
      <c r="E65" s="9"/>
      <c r="F65" s="10"/>
      <c r="G65" s="10"/>
      <c r="H65" s="11" t="str">
        <f t="shared" si="6"/>
        <v/>
      </c>
      <c r="I65" s="12" t="str">
        <f t="shared" si="7"/>
        <v/>
      </c>
      <c r="R65" t="str">
        <f>IF(AND(D65="개인",E65&lt;&gt;"",COUNTIF($D$11:$D$20,E65)=0,COUNTIF($E$24:$E$43,E65)=0,COUNTIF($E$47:E65,E65)=1),E65,"")</f>
        <v/>
      </c>
    </row>
    <row r="66" spans="2:18" ht="20.100000000000001" customHeight="1" x14ac:dyDescent="0.3">
      <c r="B66" s="7">
        <v>20</v>
      </c>
      <c r="C66" s="9"/>
      <c r="D66" s="8" t="s">
        <v>18</v>
      </c>
      <c r="E66" s="9"/>
      <c r="F66" s="10"/>
      <c r="G66" s="10"/>
      <c r="H66" s="11" t="str">
        <f t="shared" si="6"/>
        <v/>
      </c>
      <c r="I66" s="12" t="str">
        <f t="shared" si="7"/>
        <v/>
      </c>
      <c r="R66" t="str">
        <f>IF(AND(D66="개인",E66&lt;&gt;"",COUNTIF($D$11:$D$20,E66)=0,COUNTIF($E$24:$E$43,E66)=0,COUNTIF($E$47:E66,E66)=1),E66,"")</f>
        <v/>
      </c>
    </row>
    <row r="68" spans="2:18" ht="21.95" customHeight="1" x14ac:dyDescent="0.3">
      <c r="B68" s="62" t="s">
        <v>25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</row>
    <row r="69" spans="2:18" ht="20.100000000000001" customHeight="1" x14ac:dyDescent="0.3">
      <c r="B69" s="15" t="s">
        <v>12</v>
      </c>
      <c r="C69" s="15" t="s">
        <v>26</v>
      </c>
      <c r="E69" s="15" t="s">
        <v>27</v>
      </c>
      <c r="F69" s="15" t="s">
        <v>28</v>
      </c>
      <c r="G69" s="15" t="s">
        <v>29</v>
      </c>
      <c r="I69" s="15" t="s">
        <v>30</v>
      </c>
      <c r="K69" s="15" t="s">
        <v>31</v>
      </c>
      <c r="M69" s="15" t="s">
        <v>32</v>
      </c>
    </row>
    <row r="70" spans="2:18" ht="20.100000000000001" customHeight="1" x14ac:dyDescent="0.3">
      <c r="B70" s="16">
        <v>1</v>
      </c>
      <c r="C70" s="17" t="str">
        <f t="shared" ref="C70:C79" si="8">IF(AND(C11="개인",D11&lt;&gt;""),D11,"")</f>
        <v/>
      </c>
      <c r="E70" s="18" t="str">
        <f t="shared" ref="E70:E89" si="9">IF(C70="","",SUMIF($D$11:$D$20,C70,$G$11:$G$20))</f>
        <v/>
      </c>
      <c r="F70" s="18" t="str">
        <f t="shared" ref="F70:F89" si="10">IF(C70="","",SUMIF($E$24:$E$43,C70,$I$24:$I$43))</f>
        <v/>
      </c>
      <c r="G70" s="18" t="str">
        <f t="shared" ref="G70:G89" si="11">IF(C70="","",SUMIF($E$47:$E$66,C70,$I$47:$I$66))</f>
        <v/>
      </c>
      <c r="I70" s="19" t="str">
        <f t="shared" ref="I70:I89" si="12">IF(C70="","",E70+F70+G70)</f>
        <v/>
      </c>
      <c r="K70" s="20" t="str">
        <f t="shared" ref="K70:K89" si="13">IF(I70="","",IF(I70&gt;=25,"25% 이상","미달"))</f>
        <v/>
      </c>
      <c r="M70" s="20" t="str">
        <f t="shared" ref="M70:M89" si="14">IF(I70="","",IF(I70&gt;=25,"실제소유자 기재","제외"))</f>
        <v/>
      </c>
    </row>
    <row r="71" spans="2:18" ht="20.100000000000001" customHeight="1" x14ac:dyDescent="0.3">
      <c r="B71" s="16">
        <v>2</v>
      </c>
      <c r="C71" s="17" t="str">
        <f t="shared" si="8"/>
        <v/>
      </c>
      <c r="E71" s="18" t="str">
        <f t="shared" si="9"/>
        <v/>
      </c>
      <c r="F71" s="18" t="str">
        <f t="shared" si="10"/>
        <v/>
      </c>
      <c r="G71" s="18" t="str">
        <f t="shared" si="11"/>
        <v/>
      </c>
      <c r="I71" s="19" t="str">
        <f t="shared" si="12"/>
        <v/>
      </c>
      <c r="K71" s="20" t="str">
        <f t="shared" si="13"/>
        <v/>
      </c>
      <c r="M71" s="20" t="str">
        <f t="shared" si="14"/>
        <v/>
      </c>
    </row>
    <row r="72" spans="2:18" ht="20.100000000000001" customHeight="1" x14ac:dyDescent="0.3">
      <c r="B72" s="16">
        <v>3</v>
      </c>
      <c r="C72" s="17" t="str">
        <f t="shared" si="8"/>
        <v/>
      </c>
      <c r="E72" s="18" t="str">
        <f t="shared" si="9"/>
        <v/>
      </c>
      <c r="F72" s="18" t="str">
        <f t="shared" si="10"/>
        <v/>
      </c>
      <c r="G72" s="18" t="str">
        <f t="shared" si="11"/>
        <v/>
      </c>
      <c r="I72" s="19" t="str">
        <f t="shared" si="12"/>
        <v/>
      </c>
      <c r="K72" s="20" t="str">
        <f t="shared" si="13"/>
        <v/>
      </c>
      <c r="M72" s="20" t="str">
        <f t="shared" si="14"/>
        <v/>
      </c>
    </row>
    <row r="73" spans="2:18" ht="20.100000000000001" customHeight="1" x14ac:dyDescent="0.3">
      <c r="B73" s="16">
        <v>4</v>
      </c>
      <c r="C73" s="17" t="str">
        <f t="shared" si="8"/>
        <v/>
      </c>
      <c r="E73" s="18" t="str">
        <f t="shared" si="9"/>
        <v/>
      </c>
      <c r="F73" s="18" t="str">
        <f t="shared" si="10"/>
        <v/>
      </c>
      <c r="G73" s="18" t="str">
        <f t="shared" si="11"/>
        <v/>
      </c>
      <c r="I73" s="19" t="str">
        <f t="shared" si="12"/>
        <v/>
      </c>
      <c r="K73" s="20" t="str">
        <f t="shared" si="13"/>
        <v/>
      </c>
      <c r="M73" s="20" t="str">
        <f t="shared" si="14"/>
        <v/>
      </c>
    </row>
    <row r="74" spans="2:18" ht="20.100000000000001" customHeight="1" x14ac:dyDescent="0.3">
      <c r="B74" s="16">
        <v>5</v>
      </c>
      <c r="C74" s="17" t="str">
        <f t="shared" si="8"/>
        <v/>
      </c>
      <c r="E74" s="18" t="str">
        <f t="shared" si="9"/>
        <v/>
      </c>
      <c r="F74" s="18" t="str">
        <f t="shared" si="10"/>
        <v/>
      </c>
      <c r="G74" s="18" t="str">
        <f t="shared" si="11"/>
        <v/>
      </c>
      <c r="I74" s="19" t="str">
        <f t="shared" si="12"/>
        <v/>
      </c>
      <c r="K74" s="20" t="str">
        <f t="shared" si="13"/>
        <v/>
      </c>
      <c r="M74" s="20" t="str">
        <f t="shared" si="14"/>
        <v/>
      </c>
    </row>
    <row r="75" spans="2:18" ht="20.100000000000001" customHeight="1" x14ac:dyDescent="0.3">
      <c r="B75" s="16">
        <v>6</v>
      </c>
      <c r="C75" s="17" t="str">
        <f t="shared" si="8"/>
        <v/>
      </c>
      <c r="E75" s="18" t="str">
        <f t="shared" si="9"/>
        <v/>
      </c>
      <c r="F75" s="18" t="str">
        <f t="shared" si="10"/>
        <v/>
      </c>
      <c r="G75" s="18" t="str">
        <f t="shared" si="11"/>
        <v/>
      </c>
      <c r="I75" s="19" t="str">
        <f t="shared" si="12"/>
        <v/>
      </c>
      <c r="K75" s="20" t="str">
        <f t="shared" si="13"/>
        <v/>
      </c>
      <c r="M75" s="20" t="str">
        <f t="shared" si="14"/>
        <v/>
      </c>
    </row>
    <row r="76" spans="2:18" ht="20.100000000000001" customHeight="1" x14ac:dyDescent="0.3">
      <c r="B76" s="16">
        <v>7</v>
      </c>
      <c r="C76" s="17" t="str">
        <f t="shared" si="8"/>
        <v/>
      </c>
      <c r="E76" s="18" t="str">
        <f t="shared" si="9"/>
        <v/>
      </c>
      <c r="F76" s="18" t="str">
        <f t="shared" si="10"/>
        <v/>
      </c>
      <c r="G76" s="18" t="str">
        <f t="shared" si="11"/>
        <v/>
      </c>
      <c r="I76" s="19" t="str">
        <f t="shared" si="12"/>
        <v/>
      </c>
      <c r="K76" s="20" t="str">
        <f t="shared" si="13"/>
        <v/>
      </c>
      <c r="M76" s="20" t="str">
        <f t="shared" si="14"/>
        <v/>
      </c>
    </row>
    <row r="77" spans="2:18" ht="20.100000000000001" customHeight="1" x14ac:dyDescent="0.3">
      <c r="B77" s="16">
        <v>8</v>
      </c>
      <c r="C77" s="17" t="str">
        <f t="shared" si="8"/>
        <v/>
      </c>
      <c r="E77" s="18" t="str">
        <f t="shared" si="9"/>
        <v/>
      </c>
      <c r="F77" s="18" t="str">
        <f t="shared" si="10"/>
        <v/>
      </c>
      <c r="G77" s="18" t="str">
        <f t="shared" si="11"/>
        <v/>
      </c>
      <c r="I77" s="19" t="str">
        <f t="shared" si="12"/>
        <v/>
      </c>
      <c r="K77" s="20" t="str">
        <f t="shared" si="13"/>
        <v/>
      </c>
      <c r="M77" s="20" t="str">
        <f t="shared" si="14"/>
        <v/>
      </c>
    </row>
    <row r="78" spans="2:18" ht="20.100000000000001" customHeight="1" x14ac:dyDescent="0.3">
      <c r="B78" s="16">
        <v>9</v>
      </c>
      <c r="C78" s="17" t="str">
        <f t="shared" si="8"/>
        <v/>
      </c>
      <c r="E78" s="18" t="str">
        <f t="shared" si="9"/>
        <v/>
      </c>
      <c r="F78" s="18" t="str">
        <f t="shared" si="10"/>
        <v/>
      </c>
      <c r="G78" s="18" t="str">
        <f t="shared" si="11"/>
        <v/>
      </c>
      <c r="I78" s="19" t="str">
        <f t="shared" si="12"/>
        <v/>
      </c>
      <c r="K78" s="20" t="str">
        <f t="shared" si="13"/>
        <v/>
      </c>
      <c r="M78" s="20" t="str">
        <f t="shared" si="14"/>
        <v/>
      </c>
    </row>
    <row r="79" spans="2:18" ht="20.100000000000001" customHeight="1" x14ac:dyDescent="0.3">
      <c r="B79" s="16">
        <v>10</v>
      </c>
      <c r="C79" s="17" t="str">
        <f t="shared" si="8"/>
        <v/>
      </c>
      <c r="E79" s="18" t="str">
        <f t="shared" si="9"/>
        <v/>
      </c>
      <c r="F79" s="18" t="str">
        <f t="shared" si="10"/>
        <v/>
      </c>
      <c r="G79" s="18" t="str">
        <f t="shared" si="11"/>
        <v/>
      </c>
      <c r="I79" s="19" t="str">
        <f t="shared" si="12"/>
        <v/>
      </c>
      <c r="K79" s="20" t="str">
        <f t="shared" si="13"/>
        <v/>
      </c>
      <c r="M79" s="20" t="str">
        <f t="shared" si="14"/>
        <v/>
      </c>
    </row>
    <row r="80" spans="2:18" ht="20.100000000000001" customHeight="1" x14ac:dyDescent="0.3">
      <c r="B80" s="21">
        <v>11</v>
      </c>
      <c r="C80" s="9" t="str">
        <f>IFERROR(INDEX($R$24:$R$66,_xlfn.AGGREGATE(15,6,(ROW($R$24:$R$66)-23)/($R$24:$R$66&lt;&gt;""),1)),"")</f>
        <v/>
      </c>
      <c r="E80" s="22" t="str">
        <f t="shared" si="9"/>
        <v/>
      </c>
      <c r="F80" s="22" t="str">
        <f t="shared" si="10"/>
        <v/>
      </c>
      <c r="G80" s="22" t="str">
        <f t="shared" si="11"/>
        <v/>
      </c>
      <c r="I80" s="23" t="str">
        <f t="shared" si="12"/>
        <v/>
      </c>
      <c r="K80" s="21" t="str">
        <f t="shared" si="13"/>
        <v/>
      </c>
      <c r="M80" s="21" t="str">
        <f t="shared" si="14"/>
        <v/>
      </c>
    </row>
    <row r="81" spans="2:14" ht="20.100000000000001" customHeight="1" x14ac:dyDescent="0.3">
      <c r="B81" s="21">
        <v>12</v>
      </c>
      <c r="C81" s="9" t="str">
        <f>IFERROR(INDEX($R$24:$R$66,_xlfn.AGGREGATE(15,6,(ROW($R$24:$R$66)-23)/($R$24:$R$66&lt;&gt;""),2)),"")</f>
        <v/>
      </c>
      <c r="E81" s="22" t="str">
        <f t="shared" si="9"/>
        <v/>
      </c>
      <c r="F81" s="22" t="str">
        <f t="shared" si="10"/>
        <v/>
      </c>
      <c r="G81" s="22" t="str">
        <f t="shared" si="11"/>
        <v/>
      </c>
      <c r="I81" s="23" t="str">
        <f t="shared" si="12"/>
        <v/>
      </c>
      <c r="K81" s="21" t="str">
        <f t="shared" si="13"/>
        <v/>
      </c>
      <c r="M81" s="21" t="str">
        <f t="shared" si="14"/>
        <v/>
      </c>
    </row>
    <row r="82" spans="2:14" ht="20.100000000000001" customHeight="1" x14ac:dyDescent="0.3">
      <c r="B82" s="21">
        <v>13</v>
      </c>
      <c r="C82" s="9" t="str">
        <f>IFERROR(INDEX($R$24:$R$66,_xlfn.AGGREGATE(15,6,(ROW($R$24:$R$66)-23)/($R$24:$R$66&lt;&gt;""),3)),"")</f>
        <v/>
      </c>
      <c r="E82" s="22" t="str">
        <f t="shared" si="9"/>
        <v/>
      </c>
      <c r="F82" s="22" t="str">
        <f t="shared" si="10"/>
        <v/>
      </c>
      <c r="G82" s="22" t="str">
        <f t="shared" si="11"/>
        <v/>
      </c>
      <c r="I82" s="23" t="str">
        <f t="shared" si="12"/>
        <v/>
      </c>
      <c r="K82" s="21" t="str">
        <f t="shared" si="13"/>
        <v/>
      </c>
      <c r="M82" s="21" t="str">
        <f t="shared" si="14"/>
        <v/>
      </c>
    </row>
    <row r="83" spans="2:14" ht="20.100000000000001" customHeight="1" x14ac:dyDescent="0.3">
      <c r="B83" s="21">
        <v>14</v>
      </c>
      <c r="C83" s="9" t="str">
        <f>IFERROR(INDEX($R$24:$R$66,_xlfn.AGGREGATE(15,6,(ROW($R$24:$R$66)-23)/($R$24:$R$66&lt;&gt;""),4)),"")</f>
        <v/>
      </c>
      <c r="E83" s="22" t="str">
        <f t="shared" si="9"/>
        <v/>
      </c>
      <c r="F83" s="22" t="str">
        <f t="shared" si="10"/>
        <v/>
      </c>
      <c r="G83" s="22" t="str">
        <f t="shared" si="11"/>
        <v/>
      </c>
      <c r="I83" s="23" t="str">
        <f t="shared" si="12"/>
        <v/>
      </c>
      <c r="K83" s="21" t="str">
        <f t="shared" si="13"/>
        <v/>
      </c>
      <c r="M83" s="21" t="str">
        <f t="shared" si="14"/>
        <v/>
      </c>
    </row>
    <row r="84" spans="2:14" ht="20.100000000000001" customHeight="1" x14ac:dyDescent="0.3">
      <c r="B84" s="21">
        <v>15</v>
      </c>
      <c r="C84" s="9" t="str">
        <f>IFERROR(INDEX($R$24:$R$66,_xlfn.AGGREGATE(15,6,(ROW($R$24:$R$66)-23)/($R$24:$R$66&lt;&gt;""),5)),"")</f>
        <v/>
      </c>
      <c r="E84" s="22" t="str">
        <f t="shared" si="9"/>
        <v/>
      </c>
      <c r="F84" s="22" t="str">
        <f t="shared" si="10"/>
        <v/>
      </c>
      <c r="G84" s="22" t="str">
        <f t="shared" si="11"/>
        <v/>
      </c>
      <c r="I84" s="23" t="str">
        <f t="shared" si="12"/>
        <v/>
      </c>
      <c r="K84" s="21" t="str">
        <f t="shared" si="13"/>
        <v/>
      </c>
      <c r="M84" s="21" t="str">
        <f t="shared" si="14"/>
        <v/>
      </c>
    </row>
    <row r="85" spans="2:14" ht="20.100000000000001" customHeight="1" x14ac:dyDescent="0.3">
      <c r="B85" s="21">
        <v>16</v>
      </c>
      <c r="C85" s="9" t="str">
        <f>IFERROR(INDEX($R$24:$R$66,_xlfn.AGGREGATE(15,6,(ROW($R$24:$R$66)-23)/($R$24:$R$66&lt;&gt;""),6)),"")</f>
        <v/>
      </c>
      <c r="E85" s="22" t="str">
        <f t="shared" si="9"/>
        <v/>
      </c>
      <c r="F85" s="22" t="str">
        <f t="shared" si="10"/>
        <v/>
      </c>
      <c r="G85" s="22" t="str">
        <f t="shared" si="11"/>
        <v/>
      </c>
      <c r="I85" s="23" t="str">
        <f t="shared" si="12"/>
        <v/>
      </c>
      <c r="K85" s="21" t="str">
        <f t="shared" si="13"/>
        <v/>
      </c>
      <c r="M85" s="21" t="str">
        <f t="shared" si="14"/>
        <v/>
      </c>
    </row>
    <row r="86" spans="2:14" ht="20.100000000000001" customHeight="1" x14ac:dyDescent="0.3">
      <c r="B86" s="21">
        <v>17</v>
      </c>
      <c r="C86" s="9" t="str">
        <f>IFERROR(INDEX($R$24:$R$66,_xlfn.AGGREGATE(15,6,(ROW($R$24:$R$66)-23)/($R$24:$R$66&lt;&gt;""),7)),"")</f>
        <v/>
      </c>
      <c r="E86" s="22" t="str">
        <f t="shared" si="9"/>
        <v/>
      </c>
      <c r="F86" s="22" t="str">
        <f t="shared" si="10"/>
        <v/>
      </c>
      <c r="G86" s="22" t="str">
        <f t="shared" si="11"/>
        <v/>
      </c>
      <c r="I86" s="23" t="str">
        <f t="shared" si="12"/>
        <v/>
      </c>
      <c r="K86" s="21" t="str">
        <f t="shared" si="13"/>
        <v/>
      </c>
      <c r="M86" s="21" t="str">
        <f t="shared" si="14"/>
        <v/>
      </c>
    </row>
    <row r="87" spans="2:14" ht="20.100000000000001" customHeight="1" x14ac:dyDescent="0.3">
      <c r="B87" s="21">
        <v>18</v>
      </c>
      <c r="C87" s="9" t="str">
        <f>IFERROR(INDEX($R$24:$R$66,_xlfn.AGGREGATE(15,6,(ROW($R$24:$R$66)-23)/($R$24:$R$66&lt;&gt;""),8)),"")</f>
        <v/>
      </c>
      <c r="E87" s="22" t="str">
        <f t="shared" si="9"/>
        <v/>
      </c>
      <c r="F87" s="22" t="str">
        <f t="shared" si="10"/>
        <v/>
      </c>
      <c r="G87" s="22" t="str">
        <f t="shared" si="11"/>
        <v/>
      </c>
      <c r="I87" s="23" t="str">
        <f t="shared" si="12"/>
        <v/>
      </c>
      <c r="K87" s="21" t="str">
        <f t="shared" si="13"/>
        <v/>
      </c>
      <c r="M87" s="21" t="str">
        <f t="shared" si="14"/>
        <v/>
      </c>
    </row>
    <row r="88" spans="2:14" ht="20.100000000000001" customHeight="1" x14ac:dyDescent="0.3">
      <c r="B88" s="21">
        <v>19</v>
      </c>
      <c r="C88" s="9" t="str">
        <f>IFERROR(INDEX($R$24:$R$66,_xlfn.AGGREGATE(15,6,(ROW($R$24:$R$66)-23)/($R$24:$R$66&lt;&gt;""),9)),"")</f>
        <v/>
      </c>
      <c r="E88" s="22" t="str">
        <f t="shared" si="9"/>
        <v/>
      </c>
      <c r="F88" s="22" t="str">
        <f t="shared" si="10"/>
        <v/>
      </c>
      <c r="G88" s="22" t="str">
        <f t="shared" si="11"/>
        <v/>
      </c>
      <c r="I88" s="23" t="str">
        <f t="shared" si="12"/>
        <v/>
      </c>
      <c r="K88" s="21" t="str">
        <f t="shared" si="13"/>
        <v/>
      </c>
      <c r="M88" s="21" t="str">
        <f t="shared" si="14"/>
        <v/>
      </c>
    </row>
    <row r="89" spans="2:14" ht="20.100000000000001" customHeight="1" x14ac:dyDescent="0.3">
      <c r="B89" s="21">
        <v>20</v>
      </c>
      <c r="C89" s="9" t="str">
        <f>IFERROR(INDEX($R$24:$R$66,_xlfn.AGGREGATE(15,6,(ROW($R$24:$R$66)-23)/($R$24:$R$66&lt;&gt;""),10)),"")</f>
        <v/>
      </c>
      <c r="E89" s="22" t="str">
        <f t="shared" si="9"/>
        <v/>
      </c>
      <c r="F89" s="22" t="str">
        <f t="shared" si="10"/>
        <v/>
      </c>
      <c r="G89" s="22" t="str">
        <f t="shared" si="11"/>
        <v/>
      </c>
      <c r="I89" s="23" t="str">
        <f t="shared" si="12"/>
        <v/>
      </c>
      <c r="K89" s="21" t="str">
        <f t="shared" si="13"/>
        <v/>
      </c>
      <c r="M89" s="21" t="str">
        <f t="shared" si="14"/>
        <v/>
      </c>
    </row>
    <row r="91" spans="2:14" ht="21.95" customHeight="1" x14ac:dyDescent="0.3">
      <c r="B91" s="51" t="s">
        <v>33</v>
      </c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</row>
    <row r="93" spans="2:14" ht="21.95" customHeight="1" x14ac:dyDescent="0.3">
      <c r="B93" s="55" t="s">
        <v>34</v>
      </c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</row>
    <row r="94" spans="2:14" ht="20.100000000000001" customHeight="1" x14ac:dyDescent="0.3">
      <c r="B94" s="24" t="s">
        <v>35</v>
      </c>
      <c r="C94" s="66"/>
      <c r="D94" s="67"/>
      <c r="E94" s="67"/>
      <c r="F94" s="24" t="s">
        <v>36</v>
      </c>
    </row>
    <row r="95" spans="2:14" ht="27.95" customHeight="1" x14ac:dyDescent="0.3">
      <c r="B95" s="68" t="str">
        <f>IF(SUMPRODUCT((I70:I89&gt;=25)*(I70:I89&lt;&gt;""))&gt;0,"2-(1) 25% 이상 지분 소유",IF(SUMPRODUCT((I70:I89&gt;0)*(I70:I89&lt;&gt;""))&gt;0,IF(COUNTIF(I70:I89,MAX(I70:I89))&gt;1,"2-(2)-3 동률 -&gt; 대표이사 등재","2-(2)-2 최대주주"),"입력 없음"))</f>
        <v>입력 없음</v>
      </c>
      <c r="C95" s="69"/>
      <c r="D95" s="69"/>
      <c r="E95" s="69"/>
      <c r="F95" s="63" t="str">
        <f>IF(B95="2-(1) 25% 이상 지분 소유","합산 기준 25% 이상 주주를 지분순 최대 4명 기재 (합산 50% 이상까지)",IF(B95="2-(2)-3 동률 -&gt; 대표이사 등재","최대지분 보유자 동률 -&gt; 대표이사 추가 등재",IF(B95="2-(2)-2 최대주주","합산 기준 최대지분 보유자 기재","—")))</f>
        <v>—</v>
      </c>
      <c r="G95" s="52"/>
      <c r="H95" s="52"/>
      <c r="I95" s="52"/>
      <c r="J95" s="52"/>
      <c r="K95" s="52"/>
      <c r="L95" s="52"/>
      <c r="M95" s="52"/>
      <c r="N95" s="52"/>
    </row>
    <row r="96" spans="2:14" ht="21.95" customHeight="1" x14ac:dyDescent="0.3">
      <c r="B96" s="25" t="s">
        <v>37</v>
      </c>
      <c r="C96" s="70" t="str">
        <f>IFERROR(LARGE(I70:I89,1)+LARGE(I70:I89,2)+LARGE(I70:I89,3)+LARGE(I70:I89,4),"")</f>
        <v/>
      </c>
      <c r="D96" s="69"/>
      <c r="E96" s="69"/>
      <c r="F96" s="71" t="str">
        <f>IF(C96="","",IF(C96&gt;=50,"상위4명 합산 "&amp;TEXT(C96,"0.00")&amp;"% (50% 이상 충족)","상위4명 합산 "&amp;TEXT(C96,"0.00")&amp;"% — 50% 미달 시 추가 기재 필요"))</f>
        <v/>
      </c>
      <c r="G96" s="52"/>
      <c r="H96" s="52"/>
      <c r="I96" s="52"/>
      <c r="J96" s="52"/>
      <c r="K96" s="52"/>
      <c r="L96" s="52"/>
      <c r="M96" s="52"/>
      <c r="N96" s="52"/>
    </row>
    <row r="98" spans="2:14" ht="21.95" customHeight="1" x14ac:dyDescent="0.3">
      <c r="B98" s="55" t="s">
        <v>38</v>
      </c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</row>
    <row r="99" spans="2:14" ht="30" customHeight="1" x14ac:dyDescent="0.3">
      <c r="B99" s="63" t="str">
        <f>IF(F5="","법인유형을 먼저 입력하세요",IF(F5="일반 영리법인","1. 사업자등록증명원  2. 법인등기부등본(말소사항 포함, 3개월이내)  3. 실제소유자확인서  4. 주주명부",IF(F5="비영리법인","1. 고유번호증  2. 정관 또는 등기부등본  3. 실제소유자확인서","기타")))</f>
        <v>기타</v>
      </c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</row>
    <row r="102" spans="2:14" ht="21.95" customHeight="1" x14ac:dyDescent="0.3">
      <c r="B102" s="64" t="s">
        <v>39</v>
      </c>
      <c r="C102" s="52"/>
      <c r="D102" s="52"/>
      <c r="E102" s="26">
        <f>SUM(E11:E20)</f>
        <v>0</v>
      </c>
      <c r="F102" s="27" t="s">
        <v>7</v>
      </c>
    </row>
    <row r="103" spans="2:14" x14ac:dyDescent="0.3">
      <c r="B103" s="65" t="s">
        <v>40</v>
      </c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</row>
  </sheetData>
  <mergeCells count="22">
    <mergeCell ref="B98:N98"/>
    <mergeCell ref="B99:N99"/>
    <mergeCell ref="B102:D102"/>
    <mergeCell ref="B103:N103"/>
    <mergeCell ref="B93:N93"/>
    <mergeCell ref="C94:E94"/>
    <mergeCell ref="B95:E95"/>
    <mergeCell ref="F95:N95"/>
    <mergeCell ref="C96:E96"/>
    <mergeCell ref="F96:N96"/>
    <mergeCell ref="B91:N91"/>
    <mergeCell ref="A1:N1"/>
    <mergeCell ref="B2:N2"/>
    <mergeCell ref="B4:N4"/>
    <mergeCell ref="C5:D5"/>
    <mergeCell ref="F5:H5"/>
    <mergeCell ref="C6:D6"/>
    <mergeCell ref="B7:N7"/>
    <mergeCell ref="B9:N9"/>
    <mergeCell ref="B22:N22"/>
    <mergeCell ref="B45:N45"/>
    <mergeCell ref="B68:N68"/>
  </mergeCells>
  <phoneticPr fontId="6" type="noConversion"/>
  <dataValidations count="3">
    <dataValidation type="list" errorStyle="warning" operator="lessThan" allowBlank="1" showInputMessage="1" showErrorMessage="1" sqref="C24:C43" xr:uid="{B86403F5-951F-4907-80C9-1261BD97F624}">
      <formula1>$P$11:$P$20</formula1>
    </dataValidation>
    <dataValidation type="list" errorStyle="warning" operator="lessThan" allowBlank="1" showInputMessage="1" showErrorMessage="1" sqref="C47:C66" xr:uid="{2A72E82F-F7A8-450F-8EBC-CA0E4B5D22CD}">
      <formula1>$Q$24:$Q$43</formula1>
    </dataValidation>
    <dataValidation type="list" allowBlank="1" showInputMessage="1" showErrorMessage="1" sqref="C11:C20 D24:D43 D47:D66" xr:uid="{A3C3C5B5-CF6A-4F9F-A531-CF7BF84E2E2F}">
      <formula1>"개인,법인"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4337-D972-4E5D-BE5C-D1C1F7AC0C1E}">
  <sheetPr>
    <tabColor rgb="FFA83F9A"/>
  </sheetPr>
  <dimension ref="B2:H52"/>
  <sheetViews>
    <sheetView tabSelected="1" workbookViewId="0"/>
  </sheetViews>
  <sheetFormatPr defaultRowHeight="16.5" x14ac:dyDescent="0.3"/>
  <cols>
    <col min="1" max="1" width="2.625" customWidth="1"/>
    <col min="2" max="2" width="14.625" customWidth="1"/>
    <col min="3" max="8" width="16.625" customWidth="1"/>
  </cols>
  <sheetData>
    <row r="2" spans="2:8" ht="26.25" x14ac:dyDescent="0.3">
      <c r="B2" s="41" t="s">
        <v>82</v>
      </c>
    </row>
    <row r="3" spans="2:8" ht="36" customHeight="1" x14ac:dyDescent="0.3">
      <c r="B3" s="46" t="s">
        <v>83</v>
      </c>
      <c r="C3" s="46"/>
      <c r="D3" s="46"/>
      <c r="E3" s="46"/>
      <c r="F3" s="46"/>
      <c r="G3" s="46"/>
      <c r="H3" s="46"/>
    </row>
    <row r="43" spans="2:8" ht="20.25" x14ac:dyDescent="0.3">
      <c r="B43" s="42" t="s">
        <v>84</v>
      </c>
    </row>
    <row r="44" spans="2:8" x14ac:dyDescent="0.3">
      <c r="B44" s="43" t="s">
        <v>85</v>
      </c>
      <c r="C44" s="47" t="s">
        <v>86</v>
      </c>
      <c r="D44" s="47"/>
      <c r="E44" s="47"/>
      <c r="F44" s="47" t="s">
        <v>87</v>
      </c>
      <c r="G44" s="47"/>
      <c r="H44" s="47"/>
    </row>
    <row r="45" spans="2:8" ht="63.95" customHeight="1" x14ac:dyDescent="0.3">
      <c r="B45" s="44" t="s">
        <v>88</v>
      </c>
      <c r="C45" s="45" t="s">
        <v>89</v>
      </c>
      <c r="D45" s="45"/>
      <c r="E45" s="45"/>
      <c r="F45" s="45" t="s">
        <v>90</v>
      </c>
      <c r="G45" s="45"/>
      <c r="H45" s="45"/>
    </row>
    <row r="46" spans="2:8" ht="63.95" customHeight="1" x14ac:dyDescent="0.3">
      <c r="B46" s="44" t="s">
        <v>91</v>
      </c>
      <c r="C46" s="45" t="s">
        <v>92</v>
      </c>
      <c r="D46" s="45"/>
      <c r="E46" s="45"/>
      <c r="F46" s="45" t="s">
        <v>93</v>
      </c>
      <c r="G46" s="45"/>
      <c r="H46" s="45"/>
    </row>
    <row r="47" spans="2:8" ht="63.95" customHeight="1" x14ac:dyDescent="0.3">
      <c r="B47" s="44" t="s">
        <v>94</v>
      </c>
      <c r="C47" s="45" t="s">
        <v>95</v>
      </c>
      <c r="D47" s="45"/>
      <c r="E47" s="45"/>
      <c r="F47" s="45" t="s">
        <v>96</v>
      </c>
      <c r="G47" s="45"/>
      <c r="H47" s="45"/>
    </row>
    <row r="49" spans="2:8" x14ac:dyDescent="0.3">
      <c r="B49" s="48" t="s">
        <v>97</v>
      </c>
      <c r="C49" s="48"/>
      <c r="D49" s="48"/>
      <c r="E49" s="48"/>
      <c r="F49" s="48"/>
      <c r="G49" s="48"/>
      <c r="H49" s="48"/>
    </row>
    <row r="50" spans="2:8" x14ac:dyDescent="0.3">
      <c r="B50" s="49" t="s">
        <v>98</v>
      </c>
      <c r="C50" s="49"/>
      <c r="D50" s="49"/>
      <c r="E50" s="49"/>
      <c r="F50" s="49"/>
      <c r="G50" s="49"/>
      <c r="H50" s="49"/>
    </row>
    <row r="52" spans="2:8" x14ac:dyDescent="0.3">
      <c r="B52" s="50" t="s">
        <v>99</v>
      </c>
      <c r="C52" s="50"/>
      <c r="D52" s="50"/>
      <c r="E52" s="50"/>
      <c r="F52" s="50"/>
      <c r="G52" s="50"/>
      <c r="H52" s="50"/>
    </row>
  </sheetData>
  <mergeCells count="12">
    <mergeCell ref="C47:E47"/>
    <mergeCell ref="F47:H47"/>
    <mergeCell ref="B49:H49"/>
    <mergeCell ref="B50:H50"/>
    <mergeCell ref="B52:H52"/>
    <mergeCell ref="C46:E46"/>
    <mergeCell ref="F46:H46"/>
    <mergeCell ref="B3:H3"/>
    <mergeCell ref="C44:E44"/>
    <mergeCell ref="F44:H44"/>
    <mergeCell ref="C45:E45"/>
    <mergeCell ref="F45:H45"/>
  </mergeCells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878D-1F19-4095-89CC-7913C5807848}">
  <sheetPr>
    <tabColor rgb="FF0F766E"/>
  </sheetPr>
  <dimension ref="B1:G28"/>
  <sheetViews>
    <sheetView workbookViewId="0"/>
  </sheetViews>
  <sheetFormatPr defaultRowHeight="16.5" x14ac:dyDescent="0.3"/>
  <cols>
    <col min="1" max="1" width="3.625" customWidth="1"/>
    <col min="2" max="2" width="18.625" customWidth="1"/>
    <col min="3" max="6" width="14.625" customWidth="1"/>
    <col min="7" max="7" width="12.625" customWidth="1"/>
  </cols>
  <sheetData>
    <row r="1" spans="2:7" ht="30" customHeight="1" x14ac:dyDescent="0.3">
      <c r="B1" s="75" t="s">
        <v>41</v>
      </c>
      <c r="C1" s="73"/>
      <c r="D1" s="73"/>
      <c r="E1" s="73"/>
      <c r="F1" s="73"/>
      <c r="G1" s="73"/>
    </row>
    <row r="2" spans="2:7" ht="21.95" customHeight="1" x14ac:dyDescent="0.3">
      <c r="B2" s="76" t="s">
        <v>42</v>
      </c>
      <c r="C2" s="73"/>
      <c r="D2" s="73"/>
      <c r="E2" s="73"/>
      <c r="F2" s="73"/>
      <c r="G2" s="73"/>
    </row>
    <row r="3" spans="2:7" ht="20.100000000000001" customHeight="1" x14ac:dyDescent="0.3">
      <c r="B3" s="72" t="s">
        <v>43</v>
      </c>
      <c r="C3" s="73"/>
      <c r="D3" s="73"/>
      <c r="E3" s="73"/>
      <c r="F3" s="73"/>
      <c r="G3" s="73"/>
    </row>
    <row r="5" spans="2:7" ht="21.95" customHeight="1" x14ac:dyDescent="0.3">
      <c r="B5" s="77" t="s">
        <v>44</v>
      </c>
      <c r="C5" s="73"/>
      <c r="D5" s="73"/>
      <c r="E5" s="73"/>
      <c r="F5" s="73"/>
      <c r="G5" s="73"/>
    </row>
    <row r="6" spans="2:7" ht="18" customHeight="1" x14ac:dyDescent="0.3">
      <c r="B6" s="78" t="s">
        <v>100</v>
      </c>
      <c r="C6" s="73"/>
      <c r="D6" s="73"/>
      <c r="E6" s="73"/>
      <c r="F6" s="73"/>
      <c r="G6" s="73"/>
    </row>
    <row r="7" spans="2:7" ht="20.100000000000001" customHeight="1" x14ac:dyDescent="0.3">
      <c r="B7" s="6" t="s">
        <v>45</v>
      </c>
      <c r="C7" s="6" t="s">
        <v>46</v>
      </c>
      <c r="D7" s="6" t="s">
        <v>47</v>
      </c>
      <c r="E7" s="6" t="s">
        <v>48</v>
      </c>
      <c r="F7" s="6" t="s">
        <v>49</v>
      </c>
      <c r="G7" s="6" t="s">
        <v>50</v>
      </c>
    </row>
    <row r="8" spans="2:7" ht="21.95" customHeight="1" x14ac:dyDescent="0.3">
      <c r="B8" s="28" t="s">
        <v>51</v>
      </c>
      <c r="C8" s="29"/>
      <c r="D8" s="29"/>
      <c r="E8" s="30"/>
      <c r="F8" s="30"/>
      <c r="G8" s="31" t="str">
        <f>IF(F8="","",F8/100)</f>
        <v/>
      </c>
    </row>
    <row r="9" spans="2:7" ht="20.100000000000001" customHeight="1" x14ac:dyDescent="0.3">
      <c r="B9" s="79" t="s">
        <v>52</v>
      </c>
      <c r="C9" s="73"/>
      <c r="D9" s="73"/>
      <c r="E9" s="73"/>
      <c r="F9" s="73"/>
      <c r="G9" s="73"/>
    </row>
    <row r="10" spans="2:7" ht="20.100000000000001" customHeight="1" x14ac:dyDescent="0.3">
      <c r="B10" s="14" t="s">
        <v>12</v>
      </c>
      <c r="C10" s="14" t="s">
        <v>53</v>
      </c>
      <c r="D10" s="14" t="s">
        <v>54</v>
      </c>
      <c r="E10" s="14" t="s">
        <v>55</v>
      </c>
      <c r="F10" s="14" t="s">
        <v>32</v>
      </c>
    </row>
    <row r="11" spans="2:7" ht="20.100000000000001" customHeight="1" x14ac:dyDescent="0.3">
      <c r="B11" s="32">
        <v>1</v>
      </c>
      <c r="C11" s="29"/>
      <c r="D11" s="30"/>
      <c r="E11" s="33" t="str">
        <f>IF(OR(C11="",D11="",G8=""),"",IFERROR(D11/(1-G8),D11))</f>
        <v/>
      </c>
      <c r="F11" s="32" t="str">
        <f t="shared" ref="F11:F20" si="0">IF(E11="","",IF(E11&gt;=25,"25% 이상",""))</f>
        <v/>
      </c>
    </row>
    <row r="12" spans="2:7" ht="20.100000000000001" customHeight="1" x14ac:dyDescent="0.3">
      <c r="B12" s="32">
        <v>2</v>
      </c>
      <c r="C12" s="29"/>
      <c r="D12" s="30"/>
      <c r="E12" s="33" t="str">
        <f>IF(OR(C12="",D12="",G8=""),"",IFERROR(D12/(1-G8),D12))</f>
        <v/>
      </c>
      <c r="F12" s="32" t="str">
        <f t="shared" si="0"/>
        <v/>
      </c>
    </row>
    <row r="13" spans="2:7" ht="20.100000000000001" customHeight="1" x14ac:dyDescent="0.3">
      <c r="B13" s="32">
        <v>3</v>
      </c>
      <c r="C13" s="29"/>
      <c r="D13" s="30"/>
      <c r="E13" s="33" t="str">
        <f>IF(OR(C13="",D13="",G8=""),"",IFERROR(D13/(1-G8),D13))</f>
        <v/>
      </c>
      <c r="F13" s="32" t="str">
        <f t="shared" si="0"/>
        <v/>
      </c>
    </row>
    <row r="14" spans="2:7" ht="20.100000000000001" customHeight="1" x14ac:dyDescent="0.3">
      <c r="B14" s="32">
        <v>4</v>
      </c>
      <c r="C14" s="29"/>
      <c r="D14" s="30"/>
      <c r="E14" s="33" t="str">
        <f>IF(OR(C14="",D14="",G8=""),"",IFERROR(D14/(1-G8),D14))</f>
        <v/>
      </c>
      <c r="F14" s="32" t="str">
        <f t="shared" si="0"/>
        <v/>
      </c>
    </row>
    <row r="15" spans="2:7" ht="20.100000000000001" customHeight="1" x14ac:dyDescent="0.3">
      <c r="B15" s="32">
        <v>5</v>
      </c>
      <c r="C15" s="29"/>
      <c r="D15" s="30"/>
      <c r="E15" s="33" t="str">
        <f>IF(OR(C15="",D15="",G8=""),"",IFERROR(D15/(1-G8),D15))</f>
        <v/>
      </c>
      <c r="F15" s="32" t="str">
        <f t="shared" si="0"/>
        <v/>
      </c>
    </row>
    <row r="16" spans="2:7" ht="20.100000000000001" customHeight="1" x14ac:dyDescent="0.3">
      <c r="B16" s="32">
        <v>6</v>
      </c>
      <c r="C16" s="29"/>
      <c r="D16" s="30"/>
      <c r="E16" s="33" t="str">
        <f>IF(OR(C16="",D16="",G8=""),"",IFERROR(D16/(1-G8),D16))</f>
        <v/>
      </c>
      <c r="F16" s="32" t="str">
        <f t="shared" si="0"/>
        <v/>
      </c>
    </row>
    <row r="17" spans="2:7" ht="20.100000000000001" customHeight="1" x14ac:dyDescent="0.3">
      <c r="B17" s="32">
        <v>7</v>
      </c>
      <c r="C17" s="29"/>
      <c r="D17" s="30"/>
      <c r="E17" s="33" t="str">
        <f>IF(OR(C17="",D17="",G8=""),"",IFERROR(D17/(1-G8),D17))</f>
        <v/>
      </c>
      <c r="F17" s="32" t="str">
        <f t="shared" si="0"/>
        <v/>
      </c>
    </row>
    <row r="18" spans="2:7" ht="20.100000000000001" customHeight="1" x14ac:dyDescent="0.3">
      <c r="B18" s="32">
        <v>8</v>
      </c>
      <c r="C18" s="29"/>
      <c r="D18" s="30"/>
      <c r="E18" s="33" t="str">
        <f>IF(OR(C18="",D18="",G8=""),"",IFERROR(D18/(1-G8),D18))</f>
        <v/>
      </c>
      <c r="F18" s="32" t="str">
        <f t="shared" si="0"/>
        <v/>
      </c>
    </row>
    <row r="19" spans="2:7" ht="20.100000000000001" customHeight="1" x14ac:dyDescent="0.3">
      <c r="B19" s="32">
        <v>9</v>
      </c>
      <c r="C19" s="29"/>
      <c r="D19" s="30"/>
      <c r="E19" s="33" t="str">
        <f>IF(OR(C19="",D19="",G8=""),"",IFERROR(D19/(1-G8),D19))</f>
        <v/>
      </c>
      <c r="F19" s="32" t="str">
        <f t="shared" si="0"/>
        <v/>
      </c>
    </row>
    <row r="20" spans="2:7" ht="20.100000000000001" customHeight="1" x14ac:dyDescent="0.3">
      <c r="B20" s="32">
        <v>10</v>
      </c>
      <c r="C20" s="29"/>
      <c r="D20" s="30"/>
      <c r="E20" s="33" t="str">
        <f>IF(OR(C20="",D20="",G8=""),"",IFERROR(D20/(1-G8),D20))</f>
        <v/>
      </c>
      <c r="F20" s="32" t="str">
        <f t="shared" si="0"/>
        <v/>
      </c>
    </row>
    <row r="21" spans="2:7" ht="21.95" customHeight="1" x14ac:dyDescent="0.3">
      <c r="B21" s="34" t="s">
        <v>56</v>
      </c>
      <c r="D21" s="35">
        <f>IFERROR(SUM(D11:D20),"")</f>
        <v>0</v>
      </c>
      <c r="E21" s="35">
        <f>IFERROR(SUM(E11:E20),"")</f>
        <v>0</v>
      </c>
    </row>
    <row r="22" spans="2:7" ht="20.100000000000001" customHeight="1" x14ac:dyDescent="0.3">
      <c r="B22" s="72" t="str">
        <f>IF(D21="","입력 대기 중",IF(ABS(D21-100)&lt;0.1,"원래 지분 합계 100% 정상","경고: 합계 "&amp;TEXT(D21,"0.00")&amp;"% -- 100%인지 확인하세요"))</f>
        <v>경고: 합계 0.00% -- 100%인지 확인하세요</v>
      </c>
      <c r="C22" s="73"/>
      <c r="D22" s="73"/>
      <c r="E22" s="73"/>
      <c r="F22" s="73"/>
      <c r="G22" s="73"/>
    </row>
    <row r="24" spans="2:7" ht="21.95" customHeight="1" x14ac:dyDescent="0.3">
      <c r="B24" s="74" t="s">
        <v>101</v>
      </c>
      <c r="C24" s="73"/>
      <c r="D24" s="73"/>
      <c r="E24" s="73"/>
      <c r="F24" s="73"/>
      <c r="G24" s="73"/>
    </row>
    <row r="25" spans="2:7" ht="20.100000000000001" customHeight="1" x14ac:dyDescent="0.3">
      <c r="B25" s="15" t="s">
        <v>14</v>
      </c>
      <c r="C25" s="15" t="s">
        <v>54</v>
      </c>
      <c r="D25" s="15" t="s">
        <v>57</v>
      </c>
      <c r="E25" s="15" t="s">
        <v>55</v>
      </c>
      <c r="F25" s="15" t="s">
        <v>58</v>
      </c>
    </row>
    <row r="26" spans="2:7" ht="20.100000000000001" customHeight="1" x14ac:dyDescent="0.3">
      <c r="B26" s="36" t="s">
        <v>102</v>
      </c>
      <c r="C26" s="36">
        <v>30</v>
      </c>
      <c r="D26" s="37">
        <v>0.125</v>
      </c>
      <c r="E26" s="38">
        <v>34.29</v>
      </c>
      <c r="F26" s="36" t="b">
        <f>30/(1-12.5%)=34.29%</f>
        <v>0</v>
      </c>
    </row>
    <row r="27" spans="2:7" ht="20.100000000000001" customHeight="1" x14ac:dyDescent="0.3">
      <c r="B27" s="36" t="s">
        <v>103</v>
      </c>
      <c r="C27" s="36">
        <v>30</v>
      </c>
      <c r="D27" s="37">
        <v>0.125</v>
      </c>
      <c r="E27" s="38">
        <v>34.29</v>
      </c>
      <c r="F27" s="36" t="b">
        <f>30/(1-12.5%)=34.29%</f>
        <v>0</v>
      </c>
    </row>
    <row r="28" spans="2:7" ht="20.100000000000001" customHeight="1" x14ac:dyDescent="0.3">
      <c r="B28" s="36" t="s">
        <v>104</v>
      </c>
      <c r="C28" s="36">
        <v>27.5</v>
      </c>
      <c r="D28" s="37">
        <v>0.125</v>
      </c>
      <c r="E28" s="38">
        <v>31.43</v>
      </c>
      <c r="F28" s="36" t="b">
        <f>27.5/(1-12.5%)=31.43%</f>
        <v>0</v>
      </c>
    </row>
  </sheetData>
  <mergeCells count="8">
    <mergeCell ref="B22:G22"/>
    <mergeCell ref="B24:G24"/>
    <mergeCell ref="B1:G1"/>
    <mergeCell ref="B2:G2"/>
    <mergeCell ref="B3:G3"/>
    <mergeCell ref="B5:G5"/>
    <mergeCell ref="B6:G6"/>
    <mergeCell ref="B9:G9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F58D-58D0-4DA9-BF43-6C8D6B295E00}">
  <sheetPr>
    <tabColor rgb="FF1E3A5F"/>
  </sheetPr>
  <dimension ref="B1:E33"/>
  <sheetViews>
    <sheetView workbookViewId="0"/>
  </sheetViews>
  <sheetFormatPr defaultRowHeight="16.5" x14ac:dyDescent="0.3"/>
  <cols>
    <col min="1" max="1" width="3.625" customWidth="1"/>
    <col min="2" max="2" width="24.625" customWidth="1"/>
    <col min="3" max="5" width="16.625" customWidth="1"/>
    <col min="6" max="6" width="3.625" customWidth="1"/>
  </cols>
  <sheetData>
    <row r="1" spans="2:5" ht="27.95" customHeight="1" x14ac:dyDescent="0.3">
      <c r="B1" s="83" t="s">
        <v>59</v>
      </c>
      <c r="C1" s="84"/>
      <c r="D1" s="84"/>
      <c r="E1" s="84"/>
    </row>
    <row r="3" spans="2:5" ht="21.95" customHeight="1" x14ac:dyDescent="0.3">
      <c r="B3" s="81" t="s">
        <v>60</v>
      </c>
      <c r="C3" s="73"/>
      <c r="D3" s="73"/>
      <c r="E3" s="73"/>
    </row>
    <row r="4" spans="2:5" ht="18" customHeight="1" x14ac:dyDescent="0.3">
      <c r="B4" s="39" t="s">
        <v>51</v>
      </c>
      <c r="C4" s="82" t="s">
        <v>61</v>
      </c>
      <c r="D4" s="73"/>
      <c r="E4" s="73"/>
    </row>
    <row r="5" spans="2:5" ht="18" customHeight="1" x14ac:dyDescent="0.3">
      <c r="B5" s="40" t="s">
        <v>62</v>
      </c>
      <c r="C5" s="80" t="s">
        <v>63</v>
      </c>
      <c r="D5" s="73"/>
      <c r="E5" s="73"/>
    </row>
    <row r="7" spans="2:5" ht="21.95" customHeight="1" x14ac:dyDescent="0.3">
      <c r="B7" s="81" t="s">
        <v>64</v>
      </c>
      <c r="C7" s="73"/>
      <c r="D7" s="73"/>
      <c r="E7" s="73"/>
    </row>
    <row r="8" spans="2:5" ht="18" customHeight="1" x14ac:dyDescent="0.3">
      <c r="B8" s="39" t="s">
        <v>51</v>
      </c>
      <c r="C8" s="82" t="s">
        <v>65</v>
      </c>
      <c r="D8" s="73"/>
      <c r="E8" s="73"/>
    </row>
    <row r="9" spans="2:5" ht="18" customHeight="1" x14ac:dyDescent="0.3">
      <c r="B9" s="40" t="s">
        <v>62</v>
      </c>
      <c r="C9" s="80" t="s">
        <v>66</v>
      </c>
      <c r="D9" s="73"/>
      <c r="E9" s="73"/>
    </row>
    <row r="11" spans="2:5" ht="21.95" customHeight="1" x14ac:dyDescent="0.3">
      <c r="B11" s="81" t="s">
        <v>67</v>
      </c>
      <c r="C11" s="73"/>
      <c r="D11" s="73"/>
      <c r="E11" s="73"/>
    </row>
    <row r="12" spans="2:5" ht="18" customHeight="1" x14ac:dyDescent="0.3">
      <c r="B12" s="39" t="s">
        <v>51</v>
      </c>
      <c r="C12" s="82" t="s">
        <v>68</v>
      </c>
      <c r="D12" s="73"/>
      <c r="E12" s="73"/>
    </row>
    <row r="13" spans="2:5" ht="18" customHeight="1" x14ac:dyDescent="0.3">
      <c r="B13" s="40" t="s">
        <v>62</v>
      </c>
      <c r="C13" s="80" t="s">
        <v>69</v>
      </c>
      <c r="D13" s="73"/>
      <c r="E13" s="73"/>
    </row>
    <row r="15" spans="2:5" ht="21.95" customHeight="1" x14ac:dyDescent="0.3">
      <c r="B15" s="81" t="s">
        <v>70</v>
      </c>
      <c r="C15" s="73"/>
      <c r="D15" s="73"/>
      <c r="E15" s="73"/>
    </row>
    <row r="16" spans="2:5" ht="18" customHeight="1" x14ac:dyDescent="0.3">
      <c r="B16" s="39" t="s">
        <v>51</v>
      </c>
      <c r="C16" s="82" t="s">
        <v>71</v>
      </c>
      <c r="D16" s="73"/>
      <c r="E16" s="73"/>
    </row>
    <row r="17" spans="2:5" ht="18" customHeight="1" x14ac:dyDescent="0.3">
      <c r="B17" s="40" t="s">
        <v>62</v>
      </c>
      <c r="C17" s="80" t="s">
        <v>72</v>
      </c>
      <c r="D17" s="73"/>
      <c r="E17" s="73"/>
    </row>
    <row r="19" spans="2:5" ht="21.95" customHeight="1" x14ac:dyDescent="0.3">
      <c r="B19" s="81" t="s">
        <v>73</v>
      </c>
      <c r="C19" s="73"/>
      <c r="D19" s="73"/>
      <c r="E19" s="73"/>
    </row>
    <row r="20" spans="2:5" ht="18" customHeight="1" x14ac:dyDescent="0.3">
      <c r="B20" s="39" t="s">
        <v>51</v>
      </c>
      <c r="C20" s="82" t="s">
        <v>74</v>
      </c>
      <c r="D20" s="73"/>
      <c r="E20" s="73"/>
    </row>
    <row r="21" spans="2:5" ht="18" customHeight="1" x14ac:dyDescent="0.3">
      <c r="B21" s="40" t="s">
        <v>62</v>
      </c>
      <c r="C21" s="80" t="s">
        <v>75</v>
      </c>
      <c r="D21" s="73"/>
      <c r="E21" s="73"/>
    </row>
    <row r="23" spans="2:5" ht="21.95" customHeight="1" x14ac:dyDescent="0.3">
      <c r="B23" s="81" t="s">
        <v>76</v>
      </c>
      <c r="C23" s="73"/>
      <c r="D23" s="73"/>
      <c r="E23" s="73"/>
    </row>
    <row r="24" spans="2:5" ht="18" customHeight="1" x14ac:dyDescent="0.3">
      <c r="B24" s="39" t="s">
        <v>51</v>
      </c>
      <c r="C24" s="82" t="s">
        <v>77</v>
      </c>
      <c r="D24" s="73"/>
      <c r="E24" s="73"/>
    </row>
    <row r="25" spans="2:5" ht="18" customHeight="1" x14ac:dyDescent="0.3">
      <c r="B25" s="40" t="s">
        <v>62</v>
      </c>
      <c r="C25" s="80" t="s">
        <v>78</v>
      </c>
      <c r="D25" s="73"/>
      <c r="E25" s="73"/>
    </row>
    <row r="27" spans="2:5" ht="21.95" customHeight="1" x14ac:dyDescent="0.3">
      <c r="B27" s="81" t="s">
        <v>79</v>
      </c>
      <c r="C27" s="73"/>
      <c r="D27" s="73"/>
      <c r="E27" s="73"/>
    </row>
    <row r="28" spans="2:5" ht="18" customHeight="1" x14ac:dyDescent="0.3">
      <c r="B28" s="39" t="s">
        <v>51</v>
      </c>
      <c r="C28" s="82" t="s">
        <v>80</v>
      </c>
      <c r="D28" s="73"/>
      <c r="E28" s="73"/>
    </row>
    <row r="29" spans="2:5" ht="18" customHeight="1" x14ac:dyDescent="0.3">
      <c r="B29" s="40" t="s">
        <v>62</v>
      </c>
      <c r="C29" s="80" t="s">
        <v>81</v>
      </c>
      <c r="D29" s="73"/>
      <c r="E29" s="73"/>
    </row>
    <row r="31" spans="2:5" ht="21.95" customHeight="1" x14ac:dyDescent="0.3">
      <c r="B31" s="81" t="s">
        <v>106</v>
      </c>
      <c r="C31" s="73"/>
      <c r="D31" s="73"/>
      <c r="E31" s="73"/>
    </row>
    <row r="32" spans="2:5" ht="18" customHeight="1" x14ac:dyDescent="0.3">
      <c r="B32" s="39" t="s">
        <v>51</v>
      </c>
      <c r="C32" s="82" t="s">
        <v>105</v>
      </c>
      <c r="D32" s="73"/>
      <c r="E32" s="73"/>
    </row>
    <row r="33" spans="2:5" ht="18" customHeight="1" x14ac:dyDescent="0.3">
      <c r="B33" s="40" t="s">
        <v>62</v>
      </c>
      <c r="C33" s="80" t="s">
        <v>107</v>
      </c>
      <c r="D33" s="73"/>
      <c r="E33" s="73"/>
    </row>
  </sheetData>
  <mergeCells count="25">
    <mergeCell ref="C8:E8"/>
    <mergeCell ref="B1:E1"/>
    <mergeCell ref="B3:E3"/>
    <mergeCell ref="C4:E4"/>
    <mergeCell ref="C5:E5"/>
    <mergeCell ref="B7:E7"/>
    <mergeCell ref="C24:E24"/>
    <mergeCell ref="C9:E9"/>
    <mergeCell ref="B11:E11"/>
    <mergeCell ref="C12:E12"/>
    <mergeCell ref="C13:E13"/>
    <mergeCell ref="B15:E15"/>
    <mergeCell ref="C16:E16"/>
    <mergeCell ref="C17:E17"/>
    <mergeCell ref="B19:E19"/>
    <mergeCell ref="C20:E20"/>
    <mergeCell ref="C21:E21"/>
    <mergeCell ref="B23:E23"/>
    <mergeCell ref="C33:E33"/>
    <mergeCell ref="C25:E25"/>
    <mergeCell ref="B27:E27"/>
    <mergeCell ref="C28:E28"/>
    <mergeCell ref="C29:E29"/>
    <mergeCell ref="B31:E31"/>
    <mergeCell ref="C32:E3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실제소유자 판별</vt:lpstr>
      <vt:lpstr>순환출자 설명</vt:lpstr>
      <vt:lpstr>순환출자 계산기</vt:lpstr>
      <vt:lpstr>시뮬레이션 케이스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Sangwon Park</dc:creator>
  <cp:lastModifiedBy>Sangwon Park</cp:lastModifiedBy>
  <dcterms:created xsi:type="dcterms:W3CDTF">2026-06-04T16:23:11Z</dcterms:created>
  <dcterms:modified xsi:type="dcterms:W3CDTF">2026-09-06T01:36:19Z</dcterms:modified>
</cp:coreProperties>
</file>